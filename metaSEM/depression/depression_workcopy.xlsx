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/>
  <mc:AlternateContent xmlns:mc="http://schemas.openxmlformats.org/markup-compatibility/2006">
    <mc:Choice Requires="x15">
      <x15ac:absPath xmlns:x15ac="http://schemas.microsoft.com/office/spreadsheetml/2010/11/ac" url="https://uniroma2-my.sharepoint.com/personal/rodolfo_rossi_uniroma2_eu/Documents/Research projects/metaSEM/depression/"/>
    </mc:Choice>
  </mc:AlternateContent>
  <xr:revisionPtr revIDLastSave="7" documentId="11_085D560F1174A6CFEB3B98154B8C8638B59F911E" xr6:coauthVersionLast="47" xr6:coauthVersionMax="47" xr10:uidLastSave="{B024FE67-E00A-B54D-8F3C-345CD3508D5B}"/>
  <bookViews>
    <workbookView xWindow="4480" yWindow="11620" windowWidth="34560" windowHeight="11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" i="1" l="1"/>
  <c r="H5" i="1"/>
  <c r="H4" i="1"/>
  <c r="H3" i="1"/>
  <c r="H2" i="1"/>
</calcChain>
</file>

<file path=xl/sharedStrings.xml><?xml version="1.0" encoding="utf-8"?>
<sst xmlns="http://schemas.openxmlformats.org/spreadsheetml/2006/main" count="92" uniqueCount="67">
  <si>
    <t>preselected for analysis</t>
  </si>
  <si>
    <t>study_id</t>
  </si>
  <si>
    <t xml:space="preserve">DOI </t>
  </si>
  <si>
    <t>double check</t>
  </si>
  <si>
    <t>Inès</t>
  </si>
  <si>
    <t>Authors, et al.</t>
  </si>
  <si>
    <t>year</t>
  </si>
  <si>
    <t>Citation</t>
  </si>
  <si>
    <t>sample_type</t>
  </si>
  <si>
    <t>clinicalsample (GP 1, CS 2)</t>
  </si>
  <si>
    <t>trauma_type (composite 1, abuse 2, neglect 3)</t>
  </si>
  <si>
    <t>trauma_type</t>
  </si>
  <si>
    <t>trauma_measure</t>
  </si>
  <si>
    <t>depression_instrument</t>
  </si>
  <si>
    <t>psychosis_type</t>
  </si>
  <si>
    <t>psychosis_construct</t>
  </si>
  <si>
    <t>psychosis_scale</t>
  </si>
  <si>
    <t>n</t>
  </si>
  <si>
    <t>mean age</t>
  </si>
  <si>
    <t>%_female</t>
  </si>
  <si>
    <t>r_XM</t>
  </si>
  <si>
    <t>r_MY</t>
  </si>
  <si>
    <t>r_XY</t>
  </si>
  <si>
    <t>NOS</t>
  </si>
  <si>
    <t>note</t>
  </si>
  <si>
    <t>doi:10.1017/S0033291717000848</t>
  </si>
  <si>
    <t>x</t>
  </si>
  <si>
    <t>Østefjells</t>
  </si>
  <si>
    <t>psychosis</t>
  </si>
  <si>
    <t>CS</t>
  </si>
  <si>
    <t>Subtype : emotional abuse</t>
  </si>
  <si>
    <t>abuse</t>
  </si>
  <si>
    <t>CTQ-SF</t>
  </si>
  <si>
    <t>PANSS - depression scale</t>
  </si>
  <si>
    <t>composite</t>
  </si>
  <si>
    <t>Positive psychotic symptoms/1 composite</t>
  </si>
  <si>
    <t>PANSS</t>
  </si>
  <si>
    <t>doi.org/10.1016/j.schres.2019.03.021</t>
  </si>
  <si>
    <t>Steenkamp</t>
  </si>
  <si>
    <t xml:space="preserve">abuse </t>
  </si>
  <si>
    <t>CECA.Q</t>
  </si>
  <si>
    <t>ESM</t>
  </si>
  <si>
    <t xml:space="preserve">positive symptoms / 1 composite </t>
  </si>
  <si>
    <t>need only between subjects</t>
  </si>
  <si>
    <t>DOI: 10.1016/j.eurpsy.2018.11.009</t>
  </si>
  <si>
    <t>Sengutta</t>
  </si>
  <si>
    <t>GP</t>
  </si>
  <si>
    <t>Composite</t>
  </si>
  <si>
    <t>compsite</t>
  </si>
  <si>
    <t>ACE</t>
  </si>
  <si>
    <t>PHQ-9</t>
  </si>
  <si>
    <t>Prodrome/1 composite</t>
  </si>
  <si>
    <t>PQ-16</t>
  </si>
  <si>
    <t>DOI: 10.1111/eip.12829</t>
  </si>
  <si>
    <t>Metel</t>
  </si>
  <si>
    <t>TEQ &amp; CECA-Q</t>
  </si>
  <si>
    <t>CESD-R</t>
  </si>
  <si>
    <t>PLE /  1 composite</t>
  </si>
  <si>
    <t>PQ</t>
  </si>
  <si>
    <t>DOI: 10.1111/papt.70017</t>
  </si>
  <si>
    <t>Saladino</t>
  </si>
  <si>
    <t>subtype : emotional neglect</t>
  </si>
  <si>
    <t>neglect</t>
  </si>
  <si>
    <t>DASS-21</t>
  </si>
  <si>
    <t>psychoticism/ 1 composite</t>
  </si>
  <si>
    <t>PID-5-BF</t>
  </si>
  <si>
    <t>depression domain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</si>
</sst>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1" fillId="2" borderId="1" xfId="0" applyFont="1" applyFill="1" applyBorder="1"/>
    <xf numFmtId="0" fontId="1" fillId="3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6"/>
  <sheetViews>
    <sheetView tabSelected="1" topLeftCell="J1" workbookViewId="0">
      <selection activeCell="S2" sqref="S2:Y6"/>
    </sheetView>
  </sheetViews>
  <sheetFormatPr baseColWidth="10" defaultColWidth="8.83203125" defaultRowHeight="15" x14ac:dyDescent="0.2"/>
  <cols>
    <col min="1" max="1" width="18.6640625" bestFit="1" customWidth="1"/>
    <col min="2" max="2" width="7.6640625" bestFit="1" customWidth="1"/>
    <col min="3" max="3" width="34.1640625" bestFit="1" customWidth="1"/>
    <col min="4" max="4" width="11.1640625" bestFit="1" customWidth="1"/>
    <col min="5" max="5" width="4.1640625" bestFit="1" customWidth="1"/>
    <col min="6" max="6" width="11.6640625" bestFit="1" customWidth="1"/>
    <col min="7" max="7" width="5.1640625" bestFit="1" customWidth="1"/>
    <col min="8" max="8" width="18.5" bestFit="1" customWidth="1"/>
    <col min="9" max="9" width="10.6640625" bestFit="1" customWidth="1"/>
    <col min="10" max="10" width="21" bestFit="1" customWidth="1"/>
    <col min="11" max="11" width="36.33203125" bestFit="1" customWidth="1"/>
    <col min="12" max="12" width="10.83203125" bestFit="1" customWidth="1"/>
    <col min="13" max="13" width="13.83203125" bestFit="1" customWidth="1"/>
    <col min="14" max="14" width="19.5" bestFit="1" customWidth="1"/>
    <col min="15" max="15" width="17.1640625" bestFit="1" customWidth="1"/>
    <col min="16" max="16" width="33.6640625" bestFit="1" customWidth="1"/>
    <col min="17" max="17" width="16.6640625" bestFit="1" customWidth="1"/>
    <col min="18" max="18" width="12.83203125" bestFit="1" customWidth="1"/>
    <col min="19" max="19" width="5.1640625" bestFit="1" customWidth="1"/>
    <col min="20" max="20" width="8.1640625" bestFit="1" customWidth="1"/>
    <col min="21" max="21" width="8.33203125" bestFit="1" customWidth="1"/>
    <col min="22" max="22" width="5.1640625" bestFit="1" customWidth="1"/>
    <col min="23" max="24" width="6.1640625" bestFit="1" customWidth="1"/>
    <col min="25" max="25" width="4.33203125" bestFit="1" customWidth="1"/>
    <col min="26" max="26" width="22.1640625" bestFit="1" customWidth="1"/>
  </cols>
  <sheetData>
    <row r="1" spans="1:2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66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</row>
    <row r="2" spans="1:26" ht="16" x14ac:dyDescent="0.2">
      <c r="A2">
        <v>1</v>
      </c>
      <c r="B2">
        <v>4</v>
      </c>
      <c r="C2" t="s">
        <v>25</v>
      </c>
      <c r="E2" t="s">
        <v>26</v>
      </c>
      <c r="F2" t="s">
        <v>27</v>
      </c>
      <c r="G2">
        <v>2017</v>
      </c>
      <c r="H2" t="str">
        <f t="shared" ref="H2:H6" si="0">F2&amp;" et al., " &amp; G2</f>
        <v>Østefjells et al., 2017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 t="s">
        <v>34</v>
      </c>
      <c r="R2" t="s">
        <v>36</v>
      </c>
      <c r="S2" s="1">
        <v>261</v>
      </c>
      <c r="T2" s="1">
        <v>30.2</v>
      </c>
      <c r="U2" s="1">
        <v>46.4</v>
      </c>
      <c r="V2" s="2">
        <v>0.27</v>
      </c>
      <c r="W2" s="2">
        <v>0.22</v>
      </c>
      <c r="X2" s="2">
        <v>0.23</v>
      </c>
      <c r="Y2" s="1">
        <v>6</v>
      </c>
    </row>
    <row r="3" spans="1:26" ht="16" x14ac:dyDescent="0.2">
      <c r="A3">
        <v>1</v>
      </c>
      <c r="B3">
        <v>12</v>
      </c>
      <c r="C3" t="s">
        <v>37</v>
      </c>
      <c r="E3" t="s">
        <v>26</v>
      </c>
      <c r="F3" t="s">
        <v>38</v>
      </c>
      <c r="G3">
        <v>2022</v>
      </c>
      <c r="H3" t="str">
        <f t="shared" si="0"/>
        <v>Steenkamp et al., 2022</v>
      </c>
      <c r="I3" t="s">
        <v>29</v>
      </c>
      <c r="J3" t="s">
        <v>29</v>
      </c>
      <c r="K3" t="s">
        <v>39</v>
      </c>
      <c r="L3" t="s">
        <v>31</v>
      </c>
      <c r="M3" t="s">
        <v>40</v>
      </c>
      <c r="N3" t="s">
        <v>41</v>
      </c>
      <c r="O3" t="s">
        <v>34</v>
      </c>
      <c r="P3" t="s">
        <v>42</v>
      </c>
      <c r="Q3" t="s">
        <v>34</v>
      </c>
      <c r="R3" t="s">
        <v>41</v>
      </c>
      <c r="S3" s="2">
        <v>59</v>
      </c>
      <c r="T3" s="1">
        <v>31.8</v>
      </c>
      <c r="U3" s="1">
        <v>42.4</v>
      </c>
      <c r="V3" s="2">
        <v>0.4</v>
      </c>
      <c r="W3" s="2">
        <v>0.68</v>
      </c>
      <c r="X3" s="2">
        <v>0.28000000000000003</v>
      </c>
      <c r="Y3" s="1">
        <v>4</v>
      </c>
      <c r="Z3" t="s">
        <v>43</v>
      </c>
    </row>
    <row r="4" spans="1:26" ht="16" x14ac:dyDescent="0.2">
      <c r="A4">
        <v>1</v>
      </c>
      <c r="B4">
        <v>3</v>
      </c>
      <c r="C4" t="s">
        <v>44</v>
      </c>
      <c r="E4" t="s">
        <v>26</v>
      </c>
      <c r="F4" t="s">
        <v>45</v>
      </c>
      <c r="G4">
        <v>2019</v>
      </c>
      <c r="H4" t="str">
        <f t="shared" si="0"/>
        <v>Sengutta et al., 2019</v>
      </c>
      <c r="I4" t="s">
        <v>46</v>
      </c>
      <c r="J4" t="s">
        <v>46</v>
      </c>
      <c r="K4" t="s">
        <v>47</v>
      </c>
      <c r="L4" t="s">
        <v>48</v>
      </c>
      <c r="M4" t="s">
        <v>49</v>
      </c>
      <c r="N4" t="s">
        <v>50</v>
      </c>
      <c r="O4" t="s">
        <v>34</v>
      </c>
      <c r="P4" t="s">
        <v>51</v>
      </c>
      <c r="Q4" t="s">
        <v>34</v>
      </c>
      <c r="R4" t="s">
        <v>52</v>
      </c>
      <c r="S4" s="3">
        <v>200</v>
      </c>
      <c r="T4" s="3">
        <v>18.7</v>
      </c>
      <c r="U4" s="3">
        <v>66.5</v>
      </c>
      <c r="V4" s="2">
        <v>0.27</v>
      </c>
      <c r="W4" s="2">
        <v>0.48</v>
      </c>
      <c r="X4" s="2">
        <v>0.33</v>
      </c>
      <c r="Y4" s="3">
        <v>5</v>
      </c>
    </row>
    <row r="5" spans="1:26" ht="16" x14ac:dyDescent="0.2">
      <c r="A5">
        <v>1</v>
      </c>
      <c r="B5">
        <v>15</v>
      </c>
      <c r="C5" t="s">
        <v>53</v>
      </c>
      <c r="E5" t="s">
        <v>26</v>
      </c>
      <c r="F5" t="s">
        <v>54</v>
      </c>
      <c r="G5">
        <v>2020</v>
      </c>
      <c r="H5" t="str">
        <f t="shared" si="0"/>
        <v>Metel et al., 2020</v>
      </c>
      <c r="I5" t="s">
        <v>46</v>
      </c>
      <c r="J5" t="s">
        <v>46</v>
      </c>
      <c r="K5" t="s">
        <v>47</v>
      </c>
      <c r="L5" t="s">
        <v>48</v>
      </c>
      <c r="M5" t="s">
        <v>55</v>
      </c>
      <c r="N5" t="s">
        <v>56</v>
      </c>
      <c r="O5" t="s">
        <v>34</v>
      </c>
      <c r="P5" t="s">
        <v>57</v>
      </c>
      <c r="Q5" t="s">
        <v>34</v>
      </c>
      <c r="R5" t="s">
        <v>58</v>
      </c>
      <c r="S5" s="2">
        <v>2614</v>
      </c>
      <c r="T5" s="3">
        <v>26.37</v>
      </c>
      <c r="U5" s="3">
        <v>62.3</v>
      </c>
      <c r="V5" s="2">
        <v>0.28999999999999998</v>
      </c>
      <c r="W5" s="2">
        <v>0.48</v>
      </c>
      <c r="X5" s="2">
        <v>0.34</v>
      </c>
      <c r="Y5" s="3">
        <v>4</v>
      </c>
    </row>
    <row r="6" spans="1:26" ht="16" x14ac:dyDescent="0.2">
      <c r="A6">
        <v>1</v>
      </c>
      <c r="B6">
        <v>18</v>
      </c>
      <c r="C6" t="s">
        <v>59</v>
      </c>
      <c r="E6" t="s">
        <v>26</v>
      </c>
      <c r="F6" t="s">
        <v>60</v>
      </c>
      <c r="G6">
        <v>2025</v>
      </c>
      <c r="H6" t="str">
        <f t="shared" si="0"/>
        <v>Saladino et al., 2025</v>
      </c>
      <c r="I6" t="s">
        <v>46</v>
      </c>
      <c r="J6" t="s">
        <v>46</v>
      </c>
      <c r="K6" t="s">
        <v>61</v>
      </c>
      <c r="L6" t="s">
        <v>62</v>
      </c>
      <c r="M6" t="s">
        <v>32</v>
      </c>
      <c r="N6" t="s">
        <v>63</v>
      </c>
      <c r="O6" t="s">
        <v>34</v>
      </c>
      <c r="P6" t="s">
        <v>64</v>
      </c>
      <c r="Q6" t="s">
        <v>34</v>
      </c>
      <c r="R6" t="s">
        <v>65</v>
      </c>
      <c r="S6" s="1">
        <v>1894</v>
      </c>
      <c r="T6" s="1">
        <v>15.46</v>
      </c>
      <c r="U6" s="1">
        <v>50.4</v>
      </c>
      <c r="V6" s="1">
        <v>0.31</v>
      </c>
      <c r="W6" s="1">
        <v>0.32</v>
      </c>
      <c r="X6" s="1">
        <v>0.33</v>
      </c>
      <c r="Y6" s="1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rodolfo rossi</cp:lastModifiedBy>
  <dcterms:created xsi:type="dcterms:W3CDTF">2026-06-10T15:19:17Z</dcterms:created>
  <dcterms:modified xsi:type="dcterms:W3CDTF">2026-06-19T14:08:16Z</dcterms:modified>
</cp:coreProperties>
</file>