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uniroma2-my.sharepoint.com/personal/rodolfo_rossi_uniroma2_eu/Documents/Research projects/metaSEM/depression/"/>
    </mc:Choice>
  </mc:AlternateContent>
  <xr:revisionPtr revIDLastSave="26" documentId="13_ncr:1_{70B1D90B-4B0C-2A4D-B431-71EDB1E73601}" xr6:coauthVersionLast="47" xr6:coauthVersionMax="47" xr10:uidLastSave="{203DBF4B-D5BA-5749-8ECC-700D8F573971}"/>
  <bookViews>
    <workbookView xWindow="520" yWindow="600" windowWidth="50680" windowHeight="22660" xr2:uid="{00000000-000D-0000-FFFF-FFFF00000000}"/>
  </bookViews>
  <sheets>
    <sheet name="Feuil1" sheetId="1" r:id="rId1"/>
  </sheets>
  <definedNames>
    <definedName name="_xlnm._FilterDatabase" localSheetId="0" hidden="1">Feuil1!$A$1:$AG$28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GzvjnzlMR4kMrW8D/7yBo3DxSGtzbvwBlJPEjS2/Ds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10" i="1"/>
  <c r="H2" i="1"/>
  <c r="H24" i="1"/>
  <c r="H12" i="1"/>
  <c r="H13" i="1"/>
  <c r="H14" i="1"/>
  <c r="H15" i="1"/>
  <c r="H16" i="1"/>
  <c r="H11" i="1"/>
  <c r="H27" i="1"/>
  <c r="H9" i="1"/>
  <c r="H20" i="1"/>
  <c r="H21" i="1"/>
  <c r="H22" i="1"/>
  <c r="H23" i="1"/>
  <c r="H17" i="1"/>
  <c r="H25" i="1"/>
  <c r="H26" i="1"/>
  <c r="H28" i="1"/>
  <c r="H18" i="1"/>
  <c r="H19" i="1"/>
</calcChain>
</file>

<file path=xl/sharedStrings.xml><?xml version="1.0" encoding="utf-8"?>
<sst xmlns="http://schemas.openxmlformats.org/spreadsheetml/2006/main" count="401" uniqueCount="170">
  <si>
    <t>study ID</t>
  </si>
  <si>
    <t xml:space="preserve">DOI </t>
  </si>
  <si>
    <t>double check</t>
  </si>
  <si>
    <t>Inès</t>
  </si>
  <si>
    <t>Authors, et al.</t>
  </si>
  <si>
    <t>year</t>
  </si>
  <si>
    <t>sample_type</t>
  </si>
  <si>
    <t>clinicalsample (GP 1, CS 2)</t>
  </si>
  <si>
    <t>trauma_type (composite 1, abuse 2, neglect 3)</t>
  </si>
  <si>
    <t>trauma_measure</t>
  </si>
  <si>
    <t>depression_instrument</t>
  </si>
  <si>
    <t>depression domain</t>
  </si>
  <si>
    <t>psychosis_scale</t>
  </si>
  <si>
    <t>N</t>
  </si>
  <si>
    <t>Mean age</t>
  </si>
  <si>
    <t>%_female</t>
  </si>
  <si>
    <t>r_XM (pathway a)</t>
  </si>
  <si>
    <t>r_MY_out (Pathway b)</t>
  </si>
  <si>
    <t>r_XY_out (pathway c)</t>
  </si>
  <si>
    <t>NOS</t>
  </si>
  <si>
    <t>note</t>
  </si>
  <si>
    <t>DOI:10.5127/jep.020611</t>
  </si>
  <si>
    <t>x</t>
  </si>
  <si>
    <t>Ashford</t>
  </si>
  <si>
    <t>GP</t>
  </si>
  <si>
    <t>Subtype : indirect agression (abuse)</t>
  </si>
  <si>
    <t>DIAS</t>
  </si>
  <si>
    <t>HADS</t>
  </si>
  <si>
    <t xml:space="preserve">composite </t>
  </si>
  <si>
    <t>ideas of social reference/2 delusions</t>
  </si>
  <si>
    <t>GPTS</t>
  </si>
  <si>
    <t>persecution</t>
  </si>
  <si>
    <t>Subtype : direct verbal agression (abuse)</t>
  </si>
  <si>
    <t>ideas of social reference</t>
  </si>
  <si>
    <t>Subtype : direct physical agression (abuse)</t>
  </si>
  <si>
    <t>https://doi.org/10.1016/j.psychres.2016.01.017</t>
  </si>
  <si>
    <t>Thompson</t>
  </si>
  <si>
    <t>Psychosis</t>
  </si>
  <si>
    <t>CS</t>
  </si>
  <si>
    <t xml:space="preserve">Sexual trauma </t>
  </si>
  <si>
    <t>CTQ</t>
  </si>
  <si>
    <t>HAM-D &amp; CAARMS</t>
  </si>
  <si>
    <t>Transition to psychosis</t>
  </si>
  <si>
    <t xml:space="preserve">CAARMS </t>
  </si>
  <si>
    <t>aucun coefficient (β, z, t ou corrélation bivariée) pour XM et MY --&gt; contacting authors</t>
  </si>
  <si>
    <t>DOI: 10.1016/j.eurpsy.2018.11.009</t>
  </si>
  <si>
    <t>Sengutta</t>
  </si>
  <si>
    <t>Composite</t>
  </si>
  <si>
    <t>ACE</t>
  </si>
  <si>
    <t>PHQ-9</t>
  </si>
  <si>
    <t>composite</t>
  </si>
  <si>
    <t>Prodrome/1 composite</t>
  </si>
  <si>
    <t>PQ-16</t>
  </si>
  <si>
    <t>doi:10.1017/S0033291717000848</t>
  </si>
  <si>
    <t>Østefjells</t>
  </si>
  <si>
    <t>psychosis</t>
  </si>
  <si>
    <t>Subtype : emotional abuse</t>
  </si>
  <si>
    <t>CTQ-SF</t>
  </si>
  <si>
    <t>PANSS - depression scale</t>
  </si>
  <si>
    <t>Positive psychotic symptoms/1 composite</t>
  </si>
  <si>
    <t>PANSS</t>
  </si>
  <si>
    <t>doi:10.1093/schbul/sbx013</t>
  </si>
  <si>
    <t>Moffa</t>
  </si>
  <si>
    <t>subtype : bullying</t>
  </si>
  <si>
    <t>Questionnaire</t>
  </si>
  <si>
    <t>RV-CIS</t>
  </si>
  <si>
    <t>Hallucinations/2 hallucinations</t>
  </si>
  <si>
    <t>PSQ</t>
  </si>
  <si>
    <t xml:space="preserve">doi:10.1017/S1352465817000686 </t>
  </si>
  <si>
    <t>McCarthy-Jones</t>
  </si>
  <si>
    <t>subtype : sexual abuse</t>
  </si>
  <si>
    <t>AMPS</t>
  </si>
  <si>
    <t>CIS-R</t>
  </si>
  <si>
    <t xml:space="preserve">Auditory verbal hallucinations </t>
  </si>
  <si>
    <t xml:space="preserve">DOI 10.1007/s00127-014-0966-1
</t>
  </si>
  <si>
    <t>Marwaha</t>
  </si>
  <si>
    <t>subtype: Sexual abuse</t>
  </si>
  <si>
    <t>subtype: physical abuse</t>
  </si>
  <si>
    <t>aucun r, β, z, t ou OR n’est fourni pour XM et XY --&gt; contacting authors</t>
  </si>
  <si>
    <t>DOI: 10.1080/20008066.2022.2141508</t>
  </si>
  <si>
    <t>Jin</t>
  </si>
  <si>
    <t>Childhood sexual abuse (subscale)</t>
  </si>
  <si>
    <t>GAD-7</t>
  </si>
  <si>
    <t>PS</t>
  </si>
  <si>
    <t>analyse en réseau de corrélations partielles régularisées --&gt; contacting authors</t>
  </si>
  <si>
    <t>DOI: 10.1016/j.psychres.2011.12.004</t>
  </si>
  <si>
    <t xml:space="preserve">Fisher </t>
  </si>
  <si>
    <t xml:space="preserve">Emotional abuse </t>
  </si>
  <si>
    <t>BDI</t>
  </si>
  <si>
    <t>Paranoia</t>
  </si>
  <si>
    <t>CTQ et le BDI sont dichotomisés et utilisés uniquement dans des modèles de médiation --&gt; contacting authors</t>
  </si>
  <si>
    <t>doi.org/10.1016/j.jpsychires.2021.11.027</t>
  </si>
  <si>
    <t>Alameda</t>
  </si>
  <si>
    <t xml:space="preserve">Composite </t>
  </si>
  <si>
    <t>Interview</t>
  </si>
  <si>
    <t>MADRS</t>
  </si>
  <si>
    <t>early psychosis symptpms / 1 composite)</t>
  </si>
  <si>
    <t>doi.org/10.1016/j.schres.2018.03.030</t>
  </si>
  <si>
    <t>Rosen</t>
  </si>
  <si>
    <t>PANSS - depressive scale</t>
  </si>
  <si>
    <t>auditory verbal hallucinations/ 2 hallucinations</t>
  </si>
  <si>
    <t>PSYRATS-AH</t>
  </si>
  <si>
    <t>doi.org/10.1016/j.schres.2019.03.021</t>
  </si>
  <si>
    <t>Steenkamp</t>
  </si>
  <si>
    <t xml:space="preserve">abuse </t>
  </si>
  <si>
    <t>CECA.Q</t>
  </si>
  <si>
    <t>ESM</t>
  </si>
  <si>
    <t xml:space="preserve">positive symptoms / 1 composite </t>
  </si>
  <si>
    <t>doi:10.1093/schbul/sbs088</t>
  </si>
  <si>
    <t>subtypes : Harsh parenting</t>
  </si>
  <si>
    <t>Interview and mother survey</t>
  </si>
  <si>
    <t>DAWBA &amp; SMFQ</t>
  </si>
  <si>
    <t>psychotic symptoms</t>
  </si>
  <si>
    <t>PLIKsi</t>
  </si>
  <si>
    <t>aucune statistique (r, β, z, t) rapportée pour XM et MY --&gt; contacting authors</t>
  </si>
  <si>
    <t>subtypes : domestic violence</t>
  </si>
  <si>
    <t>subtypes: bullying victimization</t>
  </si>
  <si>
    <t>doi.org/10.1016/j.ajp.2023.103598</t>
  </si>
  <si>
    <t xml:space="preserve">Huang </t>
  </si>
  <si>
    <t>Composite &amp; subtypes (EN, PN, SA, PA, EA)</t>
  </si>
  <si>
    <t>CRQ-SF</t>
  </si>
  <si>
    <t xml:space="preserve">schizotypy </t>
  </si>
  <si>
    <t>MSS</t>
  </si>
  <si>
    <t>DOI: 10.1111/eip.12829</t>
  </si>
  <si>
    <t>Metel</t>
  </si>
  <si>
    <t>TEQ &amp; CECA-Q</t>
  </si>
  <si>
    <t>CESD-R</t>
  </si>
  <si>
    <t>PLE /  1 composite</t>
  </si>
  <si>
    <t>PQ</t>
  </si>
  <si>
    <t>doi:10.1017/S0033291713002912</t>
  </si>
  <si>
    <t>Wolke</t>
  </si>
  <si>
    <t>Composite (child reported &amp; mother reported)</t>
  </si>
  <si>
    <t>BFIS &amp; SDQ</t>
  </si>
  <si>
    <t>SQFM</t>
  </si>
  <si>
    <t xml:space="preserve">PLE (composite) </t>
  </si>
  <si>
    <t>doi.org/10.1016/j.scog.2016.04.001</t>
  </si>
  <si>
    <t>Yamasaki</t>
  </si>
  <si>
    <t>OVBQ</t>
  </si>
  <si>
    <t xml:space="preserve"> 2 / Hallucinations</t>
  </si>
  <si>
    <t>CBCL</t>
  </si>
  <si>
    <t>DOI: 10.1111/papt.70017</t>
  </si>
  <si>
    <t>Saladino</t>
  </si>
  <si>
    <t>subtype : emotional neglect</t>
  </si>
  <si>
    <t>DASS-21</t>
  </si>
  <si>
    <t>psychoticism/ 1 composite</t>
  </si>
  <si>
    <t>PID-5-BF</t>
  </si>
  <si>
    <t>Citation</t>
  </si>
  <si>
    <t>trauma_type_3levels</t>
  </si>
  <si>
    <t>abuse</t>
  </si>
  <si>
    <t>compsite</t>
  </si>
  <si>
    <t>neglect</t>
  </si>
  <si>
    <t>psychosis_3_levels</t>
  </si>
  <si>
    <t>delusion</t>
  </si>
  <si>
    <t>hallucinations</t>
  </si>
  <si>
    <t>which sample size should be selected? Why "r ≈" ?</t>
  </si>
  <si>
    <r>
      <t xml:space="preserve">aucune statistique (r, β, z, t) rapportée pour XM --&gt; contacting authors; </t>
    </r>
    <r>
      <rPr>
        <b/>
        <sz val="12"/>
        <color theme="1"/>
        <rFont val="Calibri"/>
        <family val="2"/>
      </rPr>
      <t>rudy=what does NR mean?</t>
    </r>
  </si>
  <si>
    <t>Aucun β, SE ou statistique équivalente pour AMPS → Dépression (CIS-R) n’est rapporté dans l’article APMS / McCarthy-Jones (2018).Sans β (ou t, z, F), aucune inférence de r n’est possible. // pour autres chemins: grâce à β et p --&gt; contacting authors; rudy:  "r ≈" ?</t>
  </si>
  <si>
    <t>aucune statistique (r, β, z, t) rapportée pour XM et MY --&gt; contacting authors; rudy: will go with child report</t>
  </si>
  <si>
    <t>preselected for analysis</t>
  </si>
  <si>
    <t>only provides mdiation path coefficients, no r.</t>
  </si>
  <si>
    <t>Table 2</t>
  </si>
  <si>
    <t>Table 3</t>
  </si>
  <si>
    <t>Table 4</t>
  </si>
  <si>
    <t>Subtype : indirect agression (bullying)</t>
  </si>
  <si>
    <t>rudy: will arbitrary select this row (Table 2)</t>
  </si>
  <si>
    <t>No r</t>
  </si>
  <si>
    <t>focuses on ACE -&gt; negative voice content -&gt; voice distress mediation</t>
  </si>
  <si>
    <t>n = 6 included</t>
  </si>
  <si>
    <t>n = 4 excluded</t>
  </si>
  <si>
    <t>marked in yellow means corrections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</si>
</sst>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ptos Narrow"/>
    </font>
    <font>
      <b/>
      <sz val="14"/>
      <color theme="1"/>
      <name val="Arial"/>
      <family val="2"/>
    </font>
    <font>
      <sz val="14"/>
      <color theme="1"/>
      <name val="Aptos Narrow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sz val="9"/>
      <color rgb="FF000000"/>
      <name val="Calibri"/>
      <family val="2"/>
    </font>
    <font>
      <u/>
      <sz val="12"/>
      <color theme="10"/>
      <name val="Calibri"/>
      <family val="2"/>
    </font>
    <font>
      <u/>
      <sz val="12"/>
      <color rgb="FF000000"/>
      <name val="Calibri"/>
      <family val="2"/>
    </font>
    <font>
      <u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Calibri (Body)"/>
    </font>
    <font>
      <u/>
      <sz val="12"/>
      <color rgb="FFFF0000"/>
      <name val="Calibri (Body)"/>
    </font>
    <font>
      <b/>
      <sz val="12"/>
      <color rgb="FFFF0000"/>
      <name val="Calibri (Body)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8" fillId="2" borderId="1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9" fillId="0" borderId="1" xfId="0" applyFont="1" applyBorder="1"/>
    <xf numFmtId="0" fontId="13" fillId="0" borderId="0" xfId="0" applyFont="1"/>
    <xf numFmtId="0" fontId="17" fillId="0" borderId="0" xfId="0" applyFont="1"/>
    <xf numFmtId="0" fontId="16" fillId="0" borderId="1" xfId="0" applyFont="1" applyBorder="1"/>
    <xf numFmtId="0" fontId="6" fillId="3" borderId="1" xfId="0" applyFont="1" applyFill="1" applyBorder="1"/>
    <xf numFmtId="0" fontId="7" fillId="3" borderId="1" xfId="0" applyFont="1" applyFill="1" applyBorder="1"/>
    <xf numFmtId="0" fontId="17" fillId="3" borderId="1" xfId="0" applyFont="1" applyFill="1" applyBorder="1"/>
    <xf numFmtId="2" fontId="6" fillId="3" borderId="1" xfId="0" applyNumberFormat="1" applyFont="1" applyFill="1" applyBorder="1"/>
    <xf numFmtId="0" fontId="14" fillId="3" borderId="0" xfId="0" applyFont="1" applyFill="1"/>
    <xf numFmtId="0" fontId="20" fillId="3" borderId="1" xfId="0" applyFont="1" applyFill="1" applyBorder="1"/>
    <xf numFmtId="0" fontId="21" fillId="3" borderId="1" xfId="0" applyFont="1" applyFill="1" applyBorder="1"/>
    <xf numFmtId="0" fontId="6" fillId="0" borderId="0" xfId="0" applyFont="1"/>
    <xf numFmtId="0" fontId="11" fillId="3" borderId="1" xfId="0" applyFont="1" applyFill="1" applyBorder="1"/>
    <xf numFmtId="0" fontId="12" fillId="3" borderId="1" xfId="0" applyFont="1" applyFill="1" applyBorder="1"/>
    <xf numFmtId="0" fontId="11" fillId="0" borderId="1" xfId="0" applyFont="1" applyBorder="1"/>
    <xf numFmtId="0" fontId="15" fillId="0" borderId="0" xfId="0" applyFont="1"/>
    <xf numFmtId="0" fontId="20" fillId="3" borderId="0" xfId="0" applyFont="1" applyFill="1"/>
    <xf numFmtId="0" fontId="6" fillId="4" borderId="1" xfId="0" applyFont="1" applyFill="1" applyBorder="1"/>
    <xf numFmtId="0" fontId="22" fillId="0" borderId="1" xfId="0" applyFont="1" applyBorder="1"/>
    <xf numFmtId="0" fontId="23" fillId="0" borderId="1" xfId="0" applyFont="1" applyBorder="1"/>
    <xf numFmtId="0" fontId="22" fillId="0" borderId="0" xfId="0" applyFont="1"/>
    <xf numFmtId="0" fontId="1" fillId="4" borderId="0" xfId="0" applyFont="1" applyFill="1"/>
    <xf numFmtId="0" fontId="20" fillId="4" borderId="1" xfId="0" applyFont="1" applyFill="1" applyBorder="1"/>
    <xf numFmtId="0" fontId="22" fillId="3" borderId="1" xfId="0" applyFont="1" applyFill="1" applyBorder="1"/>
    <xf numFmtId="0" fontId="22" fillId="3" borderId="0" xfId="0" applyFont="1" applyFill="1"/>
    <xf numFmtId="0" fontId="24" fillId="3" borderId="1" xfId="0" applyFont="1" applyFill="1" applyBorder="1"/>
    <xf numFmtId="0" fontId="23" fillId="3" borderId="1" xfId="0" applyFont="1" applyFill="1" applyBorder="1"/>
    <xf numFmtId="0" fontId="23" fillId="3" borderId="0" xfId="0" applyFont="1" applyFill="1"/>
    <xf numFmtId="0" fontId="2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oi.org/10.1016/j.scog.2016.04.001" TargetMode="External"/><Relationship Id="rId3" Type="http://schemas.openxmlformats.org/officeDocument/2006/relationships/hyperlink" Target="https://doi.org/10.1016/j.psychres.2011.12.004" TargetMode="External"/><Relationship Id="rId7" Type="http://schemas.openxmlformats.org/officeDocument/2006/relationships/hyperlink" Target="http://doi.org/10.1016/j.ajp.2023.103598" TargetMode="External"/><Relationship Id="rId2" Type="http://schemas.openxmlformats.org/officeDocument/2006/relationships/hyperlink" Target="https://doi.org/10.1016/j.eurpsy.2018.11.009" TargetMode="External"/><Relationship Id="rId1" Type="http://schemas.openxmlformats.org/officeDocument/2006/relationships/hyperlink" Target="https://doi.org/10.1016/j.psychres.2016.01.017" TargetMode="External"/><Relationship Id="rId6" Type="http://schemas.openxmlformats.org/officeDocument/2006/relationships/hyperlink" Target="https://doi.org/10.1016/j.schres.2019.03.021" TargetMode="External"/><Relationship Id="rId5" Type="http://schemas.openxmlformats.org/officeDocument/2006/relationships/hyperlink" Target="https://doi.org/10.1016/j.schres.2018.03.030" TargetMode="External"/><Relationship Id="rId4" Type="http://schemas.openxmlformats.org/officeDocument/2006/relationships/hyperlink" Target="http://doi.org/10.1016/j.jpsychires.2021.11.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83"/>
  <sheetViews>
    <sheetView tabSelected="1" zoomScale="125" zoomScaleNormal="125" workbookViewId="0">
      <selection activeCell="A2" sqref="A2:A18"/>
    </sheetView>
  </sheetViews>
  <sheetFormatPr baseColWidth="10" defaultColWidth="11.1640625" defaultRowHeight="15" customHeight="1" x14ac:dyDescent="0.2"/>
  <cols>
    <col min="1" max="1" width="15.5" customWidth="1"/>
    <col min="2" max="2" width="10.83203125" customWidth="1"/>
    <col min="3" max="3" width="37" customWidth="1"/>
    <col min="4" max="4" width="22.5" customWidth="1"/>
    <col min="5" max="7" width="10.83203125" customWidth="1"/>
    <col min="8" max="8" width="21.6640625" customWidth="1"/>
    <col min="9" max="9" width="17.83203125" customWidth="1"/>
    <col min="10" max="10" width="17.6640625" customWidth="1"/>
    <col min="11" max="12" width="34.5" customWidth="1"/>
    <col min="13" max="13" width="18.5" customWidth="1"/>
    <col min="14" max="14" width="17.6640625" customWidth="1"/>
    <col min="15" max="15" width="25.1640625" customWidth="1"/>
    <col min="16" max="16" width="36.33203125" customWidth="1"/>
    <col min="17" max="17" width="22.1640625" customWidth="1"/>
    <col min="18" max="18" width="11.6640625" customWidth="1"/>
    <col min="19" max="19" width="29" customWidth="1"/>
    <col min="20" max="21" width="10.83203125" customWidth="1"/>
    <col min="22" max="22" width="22.83203125" customWidth="1"/>
    <col min="23" max="23" width="16.1640625" customWidth="1"/>
    <col min="24" max="24" width="19" customWidth="1"/>
    <col min="25" max="25" width="10.83203125" customWidth="1"/>
    <col min="26" max="26" width="49.5" customWidth="1"/>
    <col min="27" max="33" width="10.83203125" customWidth="1"/>
  </cols>
  <sheetData>
    <row r="1" spans="1:33" ht="100.5" customHeight="1" x14ac:dyDescent="0.2">
      <c r="A1" s="1" t="s">
        <v>158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146</v>
      </c>
      <c r="I1" s="2" t="s">
        <v>6</v>
      </c>
      <c r="J1" s="3" t="s">
        <v>7</v>
      </c>
      <c r="K1" s="3" t="s">
        <v>8</v>
      </c>
      <c r="L1" s="6" t="s">
        <v>147</v>
      </c>
      <c r="M1" s="2" t="s">
        <v>9</v>
      </c>
      <c r="N1" s="3" t="s">
        <v>10</v>
      </c>
      <c r="O1" s="3" t="s">
        <v>11</v>
      </c>
      <c r="P1" s="6" t="s">
        <v>151</v>
      </c>
      <c r="Q1" s="3"/>
      <c r="R1" s="2" t="s">
        <v>12</v>
      </c>
      <c r="S1" s="2" t="s">
        <v>13</v>
      </c>
      <c r="T1" s="3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3" t="s">
        <v>20</v>
      </c>
      <c r="AA1" s="4"/>
      <c r="AB1" s="4"/>
      <c r="AC1" s="4"/>
      <c r="AD1" s="4"/>
      <c r="AE1" s="4"/>
      <c r="AF1" s="4"/>
      <c r="AG1" s="4"/>
    </row>
    <row r="2" spans="1:33" ht="15.75" customHeight="1" x14ac:dyDescent="0.2">
      <c r="A2" s="5">
        <v>1</v>
      </c>
      <c r="B2" s="5">
        <v>4</v>
      </c>
      <c r="C2" s="5" t="s">
        <v>53</v>
      </c>
      <c r="D2" s="5"/>
      <c r="E2" s="5" t="s">
        <v>22</v>
      </c>
      <c r="F2" s="5" t="s">
        <v>54</v>
      </c>
      <c r="G2" s="5">
        <v>2017</v>
      </c>
      <c r="H2" s="5" t="str">
        <f t="shared" ref="H2:H28" si="0">F2&amp;" et al., " &amp; G2</f>
        <v>Østefjells et al., 2017</v>
      </c>
      <c r="I2" s="5" t="s">
        <v>55</v>
      </c>
      <c r="J2" s="5" t="s">
        <v>38</v>
      </c>
      <c r="K2" s="5" t="s">
        <v>56</v>
      </c>
      <c r="L2" s="7" t="s">
        <v>148</v>
      </c>
      <c r="M2" s="5" t="s">
        <v>57</v>
      </c>
      <c r="N2" s="5" t="s">
        <v>58</v>
      </c>
      <c r="O2" s="5" t="s">
        <v>50</v>
      </c>
      <c r="P2" s="5" t="s">
        <v>59</v>
      </c>
      <c r="Q2" s="7" t="s">
        <v>50</v>
      </c>
      <c r="R2" s="5" t="s">
        <v>60</v>
      </c>
      <c r="S2" s="5">
        <v>261</v>
      </c>
      <c r="T2" s="5">
        <v>30.2</v>
      </c>
      <c r="U2" s="5">
        <v>46.4</v>
      </c>
      <c r="V2" s="28">
        <v>0.27</v>
      </c>
      <c r="W2" s="28">
        <v>0.22</v>
      </c>
      <c r="X2" s="28">
        <v>0.23</v>
      </c>
      <c r="Y2" s="5">
        <v>6</v>
      </c>
      <c r="Z2" s="28" t="s">
        <v>160</v>
      </c>
      <c r="AA2" s="5"/>
      <c r="AB2" s="5"/>
      <c r="AC2" s="5"/>
      <c r="AD2" s="5"/>
      <c r="AE2" s="5"/>
      <c r="AF2" s="5"/>
      <c r="AG2" s="5"/>
    </row>
    <row r="3" spans="1:33" ht="15.75" hidden="1" customHeight="1" x14ac:dyDescent="0.2">
      <c r="A3" s="5">
        <v>0</v>
      </c>
      <c r="B3" s="15">
        <v>1</v>
      </c>
      <c r="C3" s="15" t="s">
        <v>21</v>
      </c>
      <c r="D3" s="15"/>
      <c r="E3" s="15" t="s">
        <v>22</v>
      </c>
      <c r="F3" s="15" t="s">
        <v>23</v>
      </c>
      <c r="G3" s="15">
        <v>2012</v>
      </c>
      <c r="H3" s="15" t="str">
        <f t="shared" si="0"/>
        <v>Ashford et al., 2012</v>
      </c>
      <c r="I3" s="16" t="s">
        <v>24</v>
      </c>
      <c r="J3" s="16" t="s">
        <v>24</v>
      </c>
      <c r="K3" s="15" t="s">
        <v>25</v>
      </c>
      <c r="L3" s="17" t="s">
        <v>148</v>
      </c>
      <c r="M3" s="15" t="s">
        <v>26</v>
      </c>
      <c r="N3" s="15" t="s">
        <v>27</v>
      </c>
      <c r="O3" s="15" t="s">
        <v>28</v>
      </c>
      <c r="P3" s="15" t="s">
        <v>31</v>
      </c>
      <c r="Q3" s="17" t="s">
        <v>152</v>
      </c>
      <c r="R3" s="15" t="s">
        <v>30</v>
      </c>
      <c r="S3" s="15">
        <v>135</v>
      </c>
      <c r="T3" s="15">
        <v>19.8</v>
      </c>
      <c r="U3" s="15">
        <v>91.1</v>
      </c>
      <c r="V3" s="15">
        <v>0.27</v>
      </c>
      <c r="W3" s="15">
        <v>0.51</v>
      </c>
      <c r="X3" s="15">
        <v>0.33</v>
      </c>
      <c r="Y3" s="15">
        <v>5</v>
      </c>
      <c r="Z3" s="15"/>
      <c r="AA3" s="5"/>
      <c r="AB3" s="5"/>
      <c r="AC3" s="5"/>
      <c r="AD3" s="5"/>
      <c r="AE3" s="5"/>
      <c r="AF3" s="5"/>
      <c r="AG3" s="5"/>
    </row>
    <row r="4" spans="1:33" ht="15.75" hidden="1" customHeight="1" x14ac:dyDescent="0.2">
      <c r="A4" s="5">
        <v>0</v>
      </c>
      <c r="B4" s="15">
        <v>1</v>
      </c>
      <c r="C4" s="15" t="s">
        <v>21</v>
      </c>
      <c r="D4" s="15"/>
      <c r="E4" s="15" t="s">
        <v>22</v>
      </c>
      <c r="F4" s="15" t="s">
        <v>23</v>
      </c>
      <c r="G4" s="15">
        <v>2012</v>
      </c>
      <c r="H4" s="15" t="str">
        <f t="shared" si="0"/>
        <v>Ashford et al., 2012</v>
      </c>
      <c r="I4" s="16" t="s">
        <v>24</v>
      </c>
      <c r="J4" s="16" t="s">
        <v>24</v>
      </c>
      <c r="K4" s="15" t="s">
        <v>32</v>
      </c>
      <c r="L4" s="17" t="s">
        <v>148</v>
      </c>
      <c r="M4" s="15" t="s">
        <v>26</v>
      </c>
      <c r="N4" s="15" t="s">
        <v>27</v>
      </c>
      <c r="O4" s="15" t="s">
        <v>28</v>
      </c>
      <c r="P4" s="15" t="s">
        <v>33</v>
      </c>
      <c r="Q4" s="17" t="s">
        <v>152</v>
      </c>
      <c r="R4" s="15" t="s">
        <v>30</v>
      </c>
      <c r="S4" s="15">
        <v>135</v>
      </c>
      <c r="T4" s="15">
        <v>19.8</v>
      </c>
      <c r="U4" s="15">
        <v>91.1</v>
      </c>
      <c r="V4" s="15">
        <v>0.23</v>
      </c>
      <c r="W4" s="15">
        <v>0.54</v>
      </c>
      <c r="X4" s="15">
        <v>0.32</v>
      </c>
      <c r="Y4" s="15">
        <v>5</v>
      </c>
      <c r="Z4" s="15"/>
      <c r="AA4" s="5"/>
      <c r="AB4" s="5"/>
      <c r="AC4" s="5"/>
      <c r="AD4" s="5"/>
      <c r="AE4" s="5"/>
      <c r="AF4" s="5"/>
      <c r="AG4" s="5"/>
    </row>
    <row r="5" spans="1:33" ht="15.75" hidden="1" customHeight="1" x14ac:dyDescent="0.2">
      <c r="A5" s="5">
        <v>0</v>
      </c>
      <c r="B5" s="15">
        <v>1</v>
      </c>
      <c r="C5" s="15" t="s">
        <v>21</v>
      </c>
      <c r="D5" s="15"/>
      <c r="E5" s="15" t="s">
        <v>22</v>
      </c>
      <c r="F5" s="15" t="s">
        <v>23</v>
      </c>
      <c r="G5" s="15">
        <v>2012</v>
      </c>
      <c r="H5" s="15" t="str">
        <f t="shared" si="0"/>
        <v>Ashford et al., 2012</v>
      </c>
      <c r="I5" s="16" t="s">
        <v>24</v>
      </c>
      <c r="J5" s="16" t="s">
        <v>24</v>
      </c>
      <c r="K5" s="15" t="s">
        <v>32</v>
      </c>
      <c r="L5" s="17" t="s">
        <v>148</v>
      </c>
      <c r="M5" s="15" t="s">
        <v>26</v>
      </c>
      <c r="N5" s="15" t="s">
        <v>27</v>
      </c>
      <c r="O5" s="15" t="s">
        <v>28</v>
      </c>
      <c r="P5" s="15" t="s">
        <v>31</v>
      </c>
      <c r="Q5" s="17" t="s">
        <v>152</v>
      </c>
      <c r="R5" s="15" t="s">
        <v>30</v>
      </c>
      <c r="S5" s="15">
        <v>135</v>
      </c>
      <c r="T5" s="15">
        <v>19.8</v>
      </c>
      <c r="U5" s="15">
        <v>91.1</v>
      </c>
      <c r="V5" s="15">
        <v>0.23</v>
      </c>
      <c r="W5" s="15">
        <v>0.51</v>
      </c>
      <c r="X5" s="15">
        <v>0.34</v>
      </c>
      <c r="Y5" s="15">
        <v>5</v>
      </c>
      <c r="Z5" s="15"/>
      <c r="AA5" s="5"/>
      <c r="AB5" s="5"/>
      <c r="AC5" s="5"/>
      <c r="AD5" s="5"/>
      <c r="AE5" s="5"/>
      <c r="AF5" s="5"/>
      <c r="AG5" s="5"/>
    </row>
    <row r="6" spans="1:33" ht="15.75" hidden="1" customHeight="1" x14ac:dyDescent="0.2">
      <c r="A6" s="5">
        <v>0</v>
      </c>
      <c r="B6" s="15">
        <v>1</v>
      </c>
      <c r="C6" s="15" t="s">
        <v>21</v>
      </c>
      <c r="D6" s="15"/>
      <c r="E6" s="15" t="s">
        <v>22</v>
      </c>
      <c r="F6" s="15" t="s">
        <v>23</v>
      </c>
      <c r="G6" s="15">
        <v>2012</v>
      </c>
      <c r="H6" s="15" t="str">
        <f t="shared" si="0"/>
        <v>Ashford et al., 2012</v>
      </c>
      <c r="I6" s="16" t="s">
        <v>24</v>
      </c>
      <c r="J6" s="16" t="s">
        <v>24</v>
      </c>
      <c r="K6" s="15" t="s">
        <v>34</v>
      </c>
      <c r="L6" s="17" t="s">
        <v>148</v>
      </c>
      <c r="M6" s="15" t="s">
        <v>26</v>
      </c>
      <c r="N6" s="15" t="s">
        <v>27</v>
      </c>
      <c r="O6" s="15" t="s">
        <v>28</v>
      </c>
      <c r="P6" s="15" t="s">
        <v>33</v>
      </c>
      <c r="Q6" s="17" t="s">
        <v>152</v>
      </c>
      <c r="R6" s="15" t="s">
        <v>30</v>
      </c>
      <c r="S6" s="15">
        <v>135</v>
      </c>
      <c r="T6" s="15">
        <v>19.8</v>
      </c>
      <c r="U6" s="15">
        <v>91.1</v>
      </c>
      <c r="V6" s="15">
        <v>0.2</v>
      </c>
      <c r="W6" s="15">
        <v>0.54</v>
      </c>
      <c r="X6" s="15">
        <v>0.3</v>
      </c>
      <c r="Y6" s="15">
        <v>5</v>
      </c>
      <c r="Z6" s="15"/>
      <c r="AA6" s="5"/>
      <c r="AB6" s="5"/>
      <c r="AC6" s="5"/>
      <c r="AD6" s="5"/>
      <c r="AE6" s="5"/>
      <c r="AF6" s="5"/>
      <c r="AG6" s="5"/>
    </row>
    <row r="7" spans="1:33" ht="15.75" hidden="1" customHeight="1" x14ac:dyDescent="0.2">
      <c r="A7" s="5">
        <v>0</v>
      </c>
      <c r="B7" s="15">
        <v>1</v>
      </c>
      <c r="C7" s="15" t="s">
        <v>21</v>
      </c>
      <c r="D7" s="15"/>
      <c r="E7" s="15" t="s">
        <v>22</v>
      </c>
      <c r="F7" s="15" t="s">
        <v>23</v>
      </c>
      <c r="G7" s="15">
        <v>2012</v>
      </c>
      <c r="H7" s="15" t="str">
        <f t="shared" si="0"/>
        <v>Ashford et al., 2012</v>
      </c>
      <c r="I7" s="16" t="s">
        <v>24</v>
      </c>
      <c r="J7" s="16" t="s">
        <v>24</v>
      </c>
      <c r="K7" s="15" t="s">
        <v>34</v>
      </c>
      <c r="L7" s="17" t="s">
        <v>148</v>
      </c>
      <c r="M7" s="15" t="s">
        <v>26</v>
      </c>
      <c r="N7" s="15" t="s">
        <v>27</v>
      </c>
      <c r="O7" s="15" t="s">
        <v>28</v>
      </c>
      <c r="P7" s="15" t="s">
        <v>31</v>
      </c>
      <c r="Q7" s="17" t="s">
        <v>152</v>
      </c>
      <c r="R7" s="15" t="s">
        <v>30</v>
      </c>
      <c r="S7" s="15">
        <v>135</v>
      </c>
      <c r="T7" s="15">
        <v>19.8</v>
      </c>
      <c r="U7" s="15">
        <v>91.1</v>
      </c>
      <c r="V7" s="15">
        <v>0.2</v>
      </c>
      <c r="W7" s="15">
        <v>0.51</v>
      </c>
      <c r="X7" s="15">
        <v>0.43</v>
      </c>
      <c r="Y7" s="15">
        <v>5</v>
      </c>
      <c r="Z7" s="15"/>
      <c r="AA7" s="5"/>
      <c r="AB7" s="5"/>
      <c r="AC7" s="5"/>
      <c r="AD7" s="5"/>
      <c r="AE7" s="5"/>
      <c r="AF7" s="5"/>
      <c r="AG7" s="5"/>
    </row>
    <row r="8" spans="1:33" ht="15.75" hidden="1" customHeight="1" x14ac:dyDescent="0.2">
      <c r="A8" s="5">
        <v>0</v>
      </c>
      <c r="B8" s="8">
        <v>2</v>
      </c>
      <c r="C8" s="9" t="s">
        <v>35</v>
      </c>
      <c r="D8" s="10"/>
      <c r="E8" s="10" t="s">
        <v>22</v>
      </c>
      <c r="F8" s="10" t="s">
        <v>36</v>
      </c>
      <c r="G8" s="10">
        <v>2016</v>
      </c>
      <c r="H8" s="5" t="str">
        <f t="shared" si="0"/>
        <v>Thompson et al., 2016</v>
      </c>
      <c r="I8" s="10" t="s">
        <v>37</v>
      </c>
      <c r="J8" s="10" t="s">
        <v>38</v>
      </c>
      <c r="K8" s="10" t="s">
        <v>39</v>
      </c>
      <c r="L8" s="11" t="s">
        <v>148</v>
      </c>
      <c r="M8" s="10" t="s">
        <v>40</v>
      </c>
      <c r="N8" s="10" t="s">
        <v>41</v>
      </c>
      <c r="O8" s="10" t="s">
        <v>28</v>
      </c>
      <c r="P8" s="10" t="s">
        <v>42</v>
      </c>
      <c r="Q8" s="11" t="s">
        <v>50</v>
      </c>
      <c r="R8" s="10" t="s">
        <v>43</v>
      </c>
      <c r="S8" s="10">
        <v>233</v>
      </c>
      <c r="T8" s="10">
        <v>18.5</v>
      </c>
      <c r="U8" s="10">
        <v>48.8</v>
      </c>
      <c r="V8" s="10"/>
      <c r="W8" s="10"/>
      <c r="X8" s="11">
        <v>0.16</v>
      </c>
      <c r="Y8" s="10">
        <v>6</v>
      </c>
      <c r="Z8" s="10" t="s">
        <v>44</v>
      </c>
      <c r="AA8" s="10"/>
      <c r="AB8" s="10"/>
      <c r="AC8" s="10"/>
      <c r="AD8" s="10"/>
      <c r="AE8" s="10"/>
      <c r="AF8" s="10"/>
      <c r="AG8" s="10"/>
    </row>
    <row r="9" spans="1:33" ht="15.75" customHeight="1" x14ac:dyDescent="0.2">
      <c r="A9" s="5">
        <v>1</v>
      </c>
      <c r="B9" s="22">
        <v>12</v>
      </c>
      <c r="C9" s="26" t="s">
        <v>102</v>
      </c>
      <c r="D9" s="5"/>
      <c r="E9" s="5" t="s">
        <v>22</v>
      </c>
      <c r="F9" s="25" t="s">
        <v>103</v>
      </c>
      <c r="G9" s="5">
        <v>2022</v>
      </c>
      <c r="H9" s="5" t="str">
        <f t="shared" si="0"/>
        <v>Steenkamp et al., 2022</v>
      </c>
      <c r="I9" s="5" t="s">
        <v>38</v>
      </c>
      <c r="J9" s="5" t="s">
        <v>38</v>
      </c>
      <c r="K9" s="5" t="s">
        <v>104</v>
      </c>
      <c r="L9" s="7" t="s">
        <v>148</v>
      </c>
      <c r="M9" s="5" t="s">
        <v>105</v>
      </c>
      <c r="N9" s="5" t="s">
        <v>106</v>
      </c>
      <c r="O9" s="5" t="s">
        <v>50</v>
      </c>
      <c r="P9" s="5" t="s">
        <v>107</v>
      </c>
      <c r="Q9" s="7" t="s">
        <v>50</v>
      </c>
      <c r="R9" s="5" t="s">
        <v>106</v>
      </c>
      <c r="S9" s="28">
        <v>59</v>
      </c>
      <c r="T9" s="5">
        <v>31.8</v>
      </c>
      <c r="U9" s="5">
        <v>42.4</v>
      </c>
      <c r="V9" s="28">
        <v>0.4</v>
      </c>
      <c r="W9" s="28">
        <v>0.68</v>
      </c>
      <c r="X9" s="28">
        <v>0.28000000000000003</v>
      </c>
      <c r="Y9" s="5">
        <v>4</v>
      </c>
      <c r="Z9" s="28" t="s">
        <v>160</v>
      </c>
      <c r="AA9" s="5"/>
      <c r="AB9" s="5"/>
      <c r="AC9" s="5"/>
      <c r="AD9" s="5"/>
      <c r="AE9" s="5"/>
      <c r="AF9" s="5"/>
      <c r="AG9" s="5"/>
    </row>
    <row r="10" spans="1:33" ht="15.75" customHeight="1" x14ac:dyDescent="0.2">
      <c r="A10" s="15">
        <v>1</v>
      </c>
      <c r="B10" s="23">
        <v>3</v>
      </c>
      <c r="C10" s="24" t="s">
        <v>45</v>
      </c>
      <c r="D10" s="15"/>
      <c r="E10" s="15" t="s">
        <v>22</v>
      </c>
      <c r="F10" s="15" t="s">
        <v>46</v>
      </c>
      <c r="G10" s="15">
        <v>2019</v>
      </c>
      <c r="H10" s="15" t="str">
        <f t="shared" si="0"/>
        <v>Sengutta et al., 2019</v>
      </c>
      <c r="I10" s="15" t="s">
        <v>24</v>
      </c>
      <c r="J10" s="15" t="s">
        <v>24</v>
      </c>
      <c r="K10" s="15" t="s">
        <v>47</v>
      </c>
      <c r="L10" s="17" t="s">
        <v>149</v>
      </c>
      <c r="M10" s="15" t="s">
        <v>48</v>
      </c>
      <c r="N10" s="15" t="s">
        <v>49</v>
      </c>
      <c r="O10" s="15" t="s">
        <v>50</v>
      </c>
      <c r="P10" s="15" t="s">
        <v>51</v>
      </c>
      <c r="Q10" s="17" t="s">
        <v>50</v>
      </c>
      <c r="R10" s="15" t="s">
        <v>52</v>
      </c>
      <c r="S10" s="15">
        <v>200</v>
      </c>
      <c r="T10" s="15">
        <v>18.7</v>
      </c>
      <c r="U10" s="15">
        <v>66.5</v>
      </c>
      <c r="V10" s="28">
        <v>0.27</v>
      </c>
      <c r="W10" s="28">
        <v>0.48</v>
      </c>
      <c r="X10" s="28">
        <v>0.33</v>
      </c>
      <c r="Y10" s="15">
        <v>5</v>
      </c>
      <c r="Z10" s="28" t="s">
        <v>161</v>
      </c>
      <c r="AA10" s="5"/>
      <c r="AB10" s="5"/>
      <c r="AC10" s="5"/>
      <c r="AD10" s="5"/>
      <c r="AE10" s="5"/>
      <c r="AF10" s="5"/>
      <c r="AG10" s="5"/>
    </row>
    <row r="11" spans="1:33" s="31" customFormat="1" ht="15.75" hidden="1" customHeight="1" x14ac:dyDescent="0.2">
      <c r="A11" s="29">
        <v>0</v>
      </c>
      <c r="B11" s="29">
        <v>10</v>
      </c>
      <c r="C11" s="30" t="s">
        <v>91</v>
      </c>
      <c r="D11" s="29"/>
      <c r="E11" s="29" t="s">
        <v>22</v>
      </c>
      <c r="F11" s="29" t="s">
        <v>92</v>
      </c>
      <c r="G11" s="29">
        <v>2022</v>
      </c>
      <c r="H11" s="29" t="str">
        <f t="shared" si="0"/>
        <v>Alameda et al., 2022</v>
      </c>
      <c r="I11" s="29" t="s">
        <v>38</v>
      </c>
      <c r="J11" s="29" t="s">
        <v>38</v>
      </c>
      <c r="K11" s="29" t="s">
        <v>93</v>
      </c>
      <c r="L11" s="29" t="s">
        <v>149</v>
      </c>
      <c r="M11" s="29" t="s">
        <v>94</v>
      </c>
      <c r="N11" s="29" t="s">
        <v>95</v>
      </c>
      <c r="O11" s="29" t="s">
        <v>50</v>
      </c>
      <c r="P11" s="29" t="s">
        <v>96</v>
      </c>
      <c r="Q11" s="29" t="s">
        <v>50</v>
      </c>
      <c r="R11" s="29" t="s">
        <v>60</v>
      </c>
      <c r="S11" s="29">
        <v>330</v>
      </c>
      <c r="T11" s="29">
        <v>24.75</v>
      </c>
      <c r="U11" s="29">
        <v>34.200000000000003</v>
      </c>
      <c r="V11" s="29">
        <v>0.38</v>
      </c>
      <c r="W11" s="29">
        <v>0.125</v>
      </c>
      <c r="X11" s="29">
        <v>1.3129999999999999</v>
      </c>
      <c r="Y11" s="29">
        <v>6</v>
      </c>
      <c r="Z11" s="29" t="s">
        <v>159</v>
      </c>
      <c r="AA11" s="29" t="s">
        <v>165</v>
      </c>
      <c r="AB11" s="29"/>
      <c r="AC11" s="29"/>
      <c r="AD11" s="29"/>
      <c r="AE11" s="29"/>
      <c r="AF11" s="29"/>
      <c r="AG11" s="29"/>
    </row>
    <row r="12" spans="1:33" ht="15.75" hidden="1" customHeight="1" x14ac:dyDescent="0.2">
      <c r="A12" s="5">
        <v>0</v>
      </c>
      <c r="B12" s="5">
        <v>6</v>
      </c>
      <c r="C12" s="5" t="s">
        <v>68</v>
      </c>
      <c r="D12" s="5"/>
      <c r="E12" s="5" t="s">
        <v>22</v>
      </c>
      <c r="F12" s="5" t="s">
        <v>69</v>
      </c>
      <c r="G12" s="5">
        <v>2018</v>
      </c>
      <c r="H12" s="5" t="str">
        <f t="shared" si="0"/>
        <v>McCarthy-Jones et al., 2018</v>
      </c>
      <c r="I12" s="5" t="s">
        <v>24</v>
      </c>
      <c r="J12" s="5" t="s">
        <v>24</v>
      </c>
      <c r="K12" s="5" t="s">
        <v>70</v>
      </c>
      <c r="L12" s="7" t="s">
        <v>148</v>
      </c>
      <c r="M12" s="5" t="s">
        <v>71</v>
      </c>
      <c r="N12" s="5" t="s">
        <v>72</v>
      </c>
      <c r="O12" s="5" t="s">
        <v>50</v>
      </c>
      <c r="P12" s="5" t="s">
        <v>73</v>
      </c>
      <c r="Q12" s="7" t="s">
        <v>153</v>
      </c>
      <c r="R12" s="5" t="s">
        <v>67</v>
      </c>
      <c r="S12" s="5">
        <v>5788</v>
      </c>
      <c r="T12" s="5">
        <v>51.71</v>
      </c>
      <c r="U12" s="5">
        <v>55.4</v>
      </c>
      <c r="V12" s="5"/>
      <c r="W12" s="5">
        <v>1.4999999999999999E-2</v>
      </c>
      <c r="X12" s="5">
        <v>0.05</v>
      </c>
      <c r="Y12" s="5">
        <v>6</v>
      </c>
      <c r="Z12" s="7" t="s">
        <v>156</v>
      </c>
      <c r="AA12" s="5"/>
      <c r="AB12" s="5"/>
      <c r="AC12" s="5"/>
      <c r="AD12" s="5"/>
      <c r="AE12" s="5"/>
      <c r="AF12" s="5"/>
      <c r="AG12" s="5"/>
    </row>
    <row r="13" spans="1:33" ht="15.75" hidden="1" customHeight="1" x14ac:dyDescent="0.2">
      <c r="A13" s="5">
        <v>0</v>
      </c>
      <c r="B13" s="15">
        <v>7</v>
      </c>
      <c r="C13" s="15" t="s">
        <v>74</v>
      </c>
      <c r="D13" s="15"/>
      <c r="E13" s="15" t="s">
        <v>22</v>
      </c>
      <c r="F13" s="15" t="s">
        <v>75</v>
      </c>
      <c r="G13" s="15">
        <v>2015</v>
      </c>
      <c r="H13" s="15" t="str">
        <f t="shared" si="0"/>
        <v>Marwaha et al., 2015</v>
      </c>
      <c r="I13" s="15" t="s">
        <v>24</v>
      </c>
      <c r="J13" s="15" t="s">
        <v>24</v>
      </c>
      <c r="K13" s="15" t="s">
        <v>76</v>
      </c>
      <c r="L13" s="17" t="s">
        <v>148</v>
      </c>
      <c r="M13" s="15" t="s">
        <v>64</v>
      </c>
      <c r="N13" s="15" t="s">
        <v>72</v>
      </c>
      <c r="O13" s="15" t="s">
        <v>50</v>
      </c>
      <c r="P13" s="15" t="s">
        <v>47</v>
      </c>
      <c r="Q13" s="17" t="s">
        <v>50</v>
      </c>
      <c r="R13" s="15" t="s">
        <v>67</v>
      </c>
      <c r="S13" s="15">
        <v>5689</v>
      </c>
      <c r="T13" s="15"/>
      <c r="U13" s="15"/>
      <c r="V13" s="18"/>
      <c r="W13" s="15">
        <v>1.4999999999999999E-2</v>
      </c>
      <c r="X13" s="15">
        <v>0.06</v>
      </c>
      <c r="Y13" s="15">
        <v>5</v>
      </c>
      <c r="Z13" s="17" t="s">
        <v>155</v>
      </c>
      <c r="AA13" s="5"/>
      <c r="AB13" s="5"/>
      <c r="AC13" s="5"/>
      <c r="AD13" s="5"/>
      <c r="AE13" s="5"/>
      <c r="AF13" s="5"/>
      <c r="AG13" s="5"/>
    </row>
    <row r="14" spans="1:33" ht="15.75" hidden="1" customHeight="1" x14ac:dyDescent="0.2">
      <c r="A14" s="5">
        <v>0</v>
      </c>
      <c r="B14" s="15">
        <v>7</v>
      </c>
      <c r="C14" s="15" t="s">
        <v>74</v>
      </c>
      <c r="D14" s="15"/>
      <c r="E14" s="15" t="s">
        <v>22</v>
      </c>
      <c r="F14" s="15" t="s">
        <v>75</v>
      </c>
      <c r="G14" s="15">
        <v>2015</v>
      </c>
      <c r="H14" s="15" t="str">
        <f t="shared" si="0"/>
        <v>Marwaha et al., 2015</v>
      </c>
      <c r="I14" s="15" t="s">
        <v>24</v>
      </c>
      <c r="J14" s="15" t="s">
        <v>24</v>
      </c>
      <c r="K14" s="15" t="s">
        <v>77</v>
      </c>
      <c r="L14" s="17" t="s">
        <v>148</v>
      </c>
      <c r="M14" s="15" t="s">
        <v>64</v>
      </c>
      <c r="N14" s="15" t="s">
        <v>72</v>
      </c>
      <c r="O14" s="15" t="s">
        <v>50</v>
      </c>
      <c r="P14" s="15" t="s">
        <v>47</v>
      </c>
      <c r="Q14" s="17" t="s">
        <v>50</v>
      </c>
      <c r="R14" s="15" t="s">
        <v>67</v>
      </c>
      <c r="S14" s="15">
        <v>5689</v>
      </c>
      <c r="T14" s="15"/>
      <c r="U14" s="15"/>
      <c r="V14" s="15"/>
      <c r="W14" s="15">
        <v>1.4999999999999999E-2</v>
      </c>
      <c r="X14" s="15"/>
      <c r="Y14" s="15">
        <v>5</v>
      </c>
      <c r="Z14" s="15" t="s">
        <v>78</v>
      </c>
      <c r="AA14" s="5"/>
      <c r="AB14" s="5"/>
      <c r="AC14" s="5"/>
      <c r="AD14" s="5"/>
      <c r="AE14" s="5"/>
      <c r="AF14" s="5"/>
      <c r="AG14" s="5"/>
    </row>
    <row r="15" spans="1:33" ht="15.75" hidden="1" customHeight="1" x14ac:dyDescent="0.2">
      <c r="A15" s="5">
        <v>0</v>
      </c>
      <c r="B15" s="5">
        <v>8</v>
      </c>
      <c r="C15" s="5" t="s">
        <v>79</v>
      </c>
      <c r="D15" s="5"/>
      <c r="E15" s="5" t="s">
        <v>22</v>
      </c>
      <c r="F15" s="5" t="s">
        <v>80</v>
      </c>
      <c r="G15" s="5">
        <v>2022</v>
      </c>
      <c r="H15" s="5" t="str">
        <f t="shared" si="0"/>
        <v>Jin et al., 2022</v>
      </c>
      <c r="I15" s="5" t="s">
        <v>24</v>
      </c>
      <c r="J15" s="5" t="s">
        <v>24</v>
      </c>
      <c r="K15" s="5" t="s">
        <v>81</v>
      </c>
      <c r="L15" s="7" t="s">
        <v>148</v>
      </c>
      <c r="M15" s="5" t="s">
        <v>57</v>
      </c>
      <c r="N15" s="5" t="s">
        <v>82</v>
      </c>
      <c r="O15" s="5" t="s">
        <v>47</v>
      </c>
      <c r="P15" s="5" t="s">
        <v>47</v>
      </c>
      <c r="Q15" s="7" t="s">
        <v>50</v>
      </c>
      <c r="R15" s="5" t="s">
        <v>83</v>
      </c>
      <c r="S15" s="5">
        <v>3479</v>
      </c>
      <c r="T15" s="5">
        <v>19.670000000000002</v>
      </c>
      <c r="U15" s="5">
        <v>51.2</v>
      </c>
      <c r="V15" s="12"/>
      <c r="W15" s="5"/>
      <c r="X15" s="5"/>
      <c r="Y15" s="5">
        <v>4</v>
      </c>
      <c r="Z15" s="5" t="s">
        <v>84</v>
      </c>
      <c r="AA15" s="5"/>
      <c r="AB15" s="5"/>
      <c r="AC15" s="5"/>
      <c r="AD15" s="5"/>
      <c r="AE15" s="5"/>
      <c r="AF15" s="5"/>
      <c r="AG15" s="5"/>
    </row>
    <row r="16" spans="1:33" ht="15.75" hidden="1" customHeight="1" x14ac:dyDescent="0.2">
      <c r="A16" s="5">
        <v>0</v>
      </c>
      <c r="B16" s="15">
        <v>9</v>
      </c>
      <c r="C16" s="19" t="s">
        <v>85</v>
      </c>
      <c r="D16" s="15"/>
      <c r="E16" s="15" t="s">
        <v>22</v>
      </c>
      <c r="F16" s="15" t="s">
        <v>86</v>
      </c>
      <c r="G16" s="15">
        <v>2012</v>
      </c>
      <c r="H16" s="15" t="str">
        <f t="shared" si="0"/>
        <v>Fisher  et al., 2012</v>
      </c>
      <c r="I16" s="15" t="s">
        <v>24</v>
      </c>
      <c r="J16" s="15" t="s">
        <v>24</v>
      </c>
      <c r="K16" s="15" t="s">
        <v>87</v>
      </c>
      <c r="L16" s="17" t="s">
        <v>148</v>
      </c>
      <c r="M16" s="15" t="s">
        <v>40</v>
      </c>
      <c r="N16" s="15" t="s">
        <v>88</v>
      </c>
      <c r="O16" s="15" t="s">
        <v>50</v>
      </c>
      <c r="P16" s="15" t="s">
        <v>89</v>
      </c>
      <c r="Q16" s="17" t="s">
        <v>152</v>
      </c>
      <c r="R16" s="15" t="s">
        <v>67</v>
      </c>
      <c r="S16" s="15">
        <v>212</v>
      </c>
      <c r="T16" s="15">
        <v>27</v>
      </c>
      <c r="U16" s="15">
        <v>65.400000000000006</v>
      </c>
      <c r="V16" s="15"/>
      <c r="W16" s="15">
        <v>0.21</v>
      </c>
      <c r="X16" s="15"/>
      <c r="Y16" s="15">
        <v>6</v>
      </c>
      <c r="Z16" s="15" t="s">
        <v>90</v>
      </c>
      <c r="AA16" s="5"/>
      <c r="AB16" s="5"/>
      <c r="AC16" s="5"/>
      <c r="AD16" s="5"/>
      <c r="AE16" s="5"/>
      <c r="AF16" s="5"/>
      <c r="AG16" s="5"/>
    </row>
    <row r="17" spans="1:33" ht="15.75" customHeight="1" x14ac:dyDescent="0.2">
      <c r="A17" s="15">
        <v>1</v>
      </c>
      <c r="B17" s="15">
        <v>15</v>
      </c>
      <c r="C17" s="23" t="s">
        <v>123</v>
      </c>
      <c r="D17" s="15"/>
      <c r="E17" s="15" t="s">
        <v>22</v>
      </c>
      <c r="F17" s="15" t="s">
        <v>124</v>
      </c>
      <c r="G17" s="15">
        <v>2020</v>
      </c>
      <c r="H17" s="15" t="str">
        <f t="shared" si="0"/>
        <v>Metel et al., 2020</v>
      </c>
      <c r="I17" s="15" t="s">
        <v>24</v>
      </c>
      <c r="J17" s="15" t="s">
        <v>24</v>
      </c>
      <c r="K17" s="15" t="s">
        <v>47</v>
      </c>
      <c r="L17" s="17" t="s">
        <v>149</v>
      </c>
      <c r="M17" s="15" t="s">
        <v>125</v>
      </c>
      <c r="N17" s="15" t="s">
        <v>126</v>
      </c>
      <c r="O17" s="15" t="s">
        <v>50</v>
      </c>
      <c r="P17" s="15" t="s">
        <v>127</v>
      </c>
      <c r="Q17" s="17" t="s">
        <v>50</v>
      </c>
      <c r="R17" s="15" t="s">
        <v>128</v>
      </c>
      <c r="S17" s="28">
        <v>2614</v>
      </c>
      <c r="T17" s="15">
        <v>26.37</v>
      </c>
      <c r="U17" s="15">
        <v>62.3</v>
      </c>
      <c r="V17" s="28">
        <v>0.28999999999999998</v>
      </c>
      <c r="W17" s="28">
        <v>0.48</v>
      </c>
      <c r="X17" s="28">
        <v>0.34</v>
      </c>
      <c r="Y17" s="15">
        <v>4</v>
      </c>
      <c r="Z17" s="32" t="s">
        <v>160</v>
      </c>
      <c r="AA17" s="5"/>
      <c r="AB17" s="5"/>
      <c r="AC17" s="5"/>
      <c r="AD17" s="5"/>
      <c r="AE17" s="5"/>
      <c r="AF17" s="5"/>
      <c r="AG17" s="5"/>
    </row>
    <row r="18" spans="1:33" ht="15.75" customHeight="1" x14ac:dyDescent="0.2">
      <c r="A18" s="5">
        <v>1</v>
      </c>
      <c r="B18" s="5">
        <v>18</v>
      </c>
      <c r="C18" s="25" t="s">
        <v>140</v>
      </c>
      <c r="D18" s="5"/>
      <c r="E18" s="5" t="s">
        <v>22</v>
      </c>
      <c r="F18" s="5" t="s">
        <v>141</v>
      </c>
      <c r="G18" s="5">
        <v>2025</v>
      </c>
      <c r="H18" s="5" t="str">
        <f t="shared" si="0"/>
        <v>Saladino et al., 2025</v>
      </c>
      <c r="I18" s="5" t="s">
        <v>24</v>
      </c>
      <c r="J18" s="5" t="s">
        <v>24</v>
      </c>
      <c r="K18" s="5" t="s">
        <v>142</v>
      </c>
      <c r="L18" s="7" t="s">
        <v>150</v>
      </c>
      <c r="M18" s="5" t="s">
        <v>57</v>
      </c>
      <c r="N18" s="5" t="s">
        <v>143</v>
      </c>
      <c r="O18" s="5" t="s">
        <v>50</v>
      </c>
      <c r="P18" s="5" t="s">
        <v>144</v>
      </c>
      <c r="Q18" s="13" t="s">
        <v>50</v>
      </c>
      <c r="R18" s="22" t="s">
        <v>145</v>
      </c>
      <c r="S18" s="5">
        <v>1894</v>
      </c>
      <c r="T18" s="5">
        <v>15.46</v>
      </c>
      <c r="U18" s="5">
        <v>50.4</v>
      </c>
      <c r="V18" s="5">
        <v>0.31</v>
      </c>
      <c r="W18" s="5">
        <v>0.32</v>
      </c>
      <c r="X18" s="5">
        <v>0.33</v>
      </c>
      <c r="Y18" s="5">
        <v>5</v>
      </c>
      <c r="Z18" s="15" t="s">
        <v>162</v>
      </c>
      <c r="AA18" s="5"/>
      <c r="AB18" s="5"/>
      <c r="AC18" s="5"/>
      <c r="AD18" s="5"/>
      <c r="AE18" s="5"/>
      <c r="AF18" s="5"/>
      <c r="AG18" s="5"/>
    </row>
    <row r="19" spans="1:33" ht="15.75" hidden="1" customHeight="1" x14ac:dyDescent="0.2">
      <c r="A19" s="15">
        <v>0</v>
      </c>
      <c r="B19" s="15">
        <v>1</v>
      </c>
      <c r="C19" s="15" t="s">
        <v>21</v>
      </c>
      <c r="D19" s="15"/>
      <c r="E19" s="20" t="s">
        <v>22</v>
      </c>
      <c r="F19" s="27" t="s">
        <v>23</v>
      </c>
      <c r="G19" s="20">
        <v>2012</v>
      </c>
      <c r="H19" s="20" t="str">
        <f t="shared" si="0"/>
        <v>Ashford et al., 2012</v>
      </c>
      <c r="I19" s="21" t="s">
        <v>24</v>
      </c>
      <c r="J19" s="21" t="s">
        <v>24</v>
      </c>
      <c r="K19" s="33" t="s">
        <v>163</v>
      </c>
      <c r="L19" s="20" t="s">
        <v>148</v>
      </c>
      <c r="M19" s="20" t="s">
        <v>26</v>
      </c>
      <c r="N19" s="20" t="s">
        <v>27</v>
      </c>
      <c r="O19" s="20" t="s">
        <v>28</v>
      </c>
      <c r="P19" s="20" t="s">
        <v>29</v>
      </c>
      <c r="Q19" s="20" t="s">
        <v>152</v>
      </c>
      <c r="R19" s="20" t="s">
        <v>30</v>
      </c>
      <c r="S19" s="20">
        <v>135</v>
      </c>
      <c r="T19" s="20">
        <v>19.8</v>
      </c>
      <c r="U19" s="20">
        <v>91.1</v>
      </c>
      <c r="V19" s="20">
        <v>0.27</v>
      </c>
      <c r="W19" s="20">
        <v>0.54</v>
      </c>
      <c r="X19" s="20">
        <v>0.44</v>
      </c>
      <c r="Y19" s="20">
        <v>5</v>
      </c>
      <c r="Z19" s="20" t="s">
        <v>164</v>
      </c>
      <c r="AA19" s="5"/>
      <c r="AB19" s="5"/>
      <c r="AC19" s="5"/>
      <c r="AD19" s="5"/>
      <c r="AE19" s="5"/>
      <c r="AF19" s="5"/>
      <c r="AG19" s="5"/>
    </row>
    <row r="20" spans="1:33" ht="15.75" hidden="1" customHeight="1" x14ac:dyDescent="0.2">
      <c r="A20" s="5">
        <v>0</v>
      </c>
      <c r="B20" s="15">
        <v>13</v>
      </c>
      <c r="C20" s="15" t="s">
        <v>108</v>
      </c>
      <c r="D20" s="15"/>
      <c r="E20" s="15" t="s">
        <v>22</v>
      </c>
      <c r="F20" s="15" t="s">
        <v>86</v>
      </c>
      <c r="G20" s="15">
        <v>2013</v>
      </c>
      <c r="H20" s="15" t="str">
        <f t="shared" si="0"/>
        <v>Fisher  et al., 2013</v>
      </c>
      <c r="I20" s="15" t="s">
        <v>24</v>
      </c>
      <c r="J20" s="15" t="s">
        <v>24</v>
      </c>
      <c r="K20" s="15" t="s">
        <v>109</v>
      </c>
      <c r="L20" s="17" t="s">
        <v>148</v>
      </c>
      <c r="M20" s="15" t="s">
        <v>110</v>
      </c>
      <c r="N20" s="15" t="s">
        <v>111</v>
      </c>
      <c r="O20" s="15" t="s">
        <v>50</v>
      </c>
      <c r="P20" s="15" t="s">
        <v>112</v>
      </c>
      <c r="Q20" s="17" t="s">
        <v>50</v>
      </c>
      <c r="R20" s="15" t="s">
        <v>113</v>
      </c>
      <c r="S20" s="15">
        <v>6692</v>
      </c>
      <c r="T20" s="15">
        <v>12.9</v>
      </c>
      <c r="U20" s="15">
        <v>51</v>
      </c>
      <c r="V20" s="15"/>
      <c r="W20" s="15"/>
      <c r="X20" s="15">
        <v>0.03</v>
      </c>
      <c r="Y20" s="15">
        <v>8</v>
      </c>
      <c r="Z20" s="15" t="s">
        <v>114</v>
      </c>
      <c r="AA20" s="5"/>
      <c r="AB20" s="5"/>
      <c r="AC20" s="5"/>
      <c r="AD20" s="5"/>
      <c r="AE20" s="5"/>
      <c r="AF20" s="5"/>
      <c r="AG20" s="5"/>
    </row>
    <row r="21" spans="1:33" ht="15.75" hidden="1" customHeight="1" x14ac:dyDescent="0.2">
      <c r="A21" s="5">
        <v>0</v>
      </c>
      <c r="B21" s="15">
        <v>13</v>
      </c>
      <c r="C21" s="15" t="s">
        <v>108</v>
      </c>
      <c r="D21" s="15"/>
      <c r="E21" s="15" t="s">
        <v>22</v>
      </c>
      <c r="F21" s="15" t="s">
        <v>86</v>
      </c>
      <c r="G21" s="15">
        <v>2013</v>
      </c>
      <c r="H21" s="15" t="str">
        <f t="shared" si="0"/>
        <v>Fisher  et al., 2013</v>
      </c>
      <c r="I21" s="15" t="s">
        <v>24</v>
      </c>
      <c r="J21" s="15" t="s">
        <v>24</v>
      </c>
      <c r="K21" s="15" t="s">
        <v>115</v>
      </c>
      <c r="L21" s="17" t="s">
        <v>148</v>
      </c>
      <c r="M21" s="15" t="s">
        <v>110</v>
      </c>
      <c r="N21" s="15" t="s">
        <v>111</v>
      </c>
      <c r="O21" s="15" t="s">
        <v>50</v>
      </c>
      <c r="P21" s="15" t="s">
        <v>112</v>
      </c>
      <c r="Q21" s="17" t="s">
        <v>50</v>
      </c>
      <c r="R21" s="15" t="s">
        <v>113</v>
      </c>
      <c r="S21" s="15"/>
      <c r="T21" s="15">
        <v>12.9</v>
      </c>
      <c r="U21" s="15"/>
      <c r="V21" s="15"/>
      <c r="W21" s="15"/>
      <c r="X21" s="15">
        <v>0.06</v>
      </c>
      <c r="Y21" s="15">
        <v>8</v>
      </c>
      <c r="Z21" s="15" t="s">
        <v>114</v>
      </c>
      <c r="AA21" s="5"/>
      <c r="AB21" s="5"/>
      <c r="AC21" s="5"/>
      <c r="AD21" s="5"/>
      <c r="AE21" s="5"/>
      <c r="AF21" s="5"/>
      <c r="AG21" s="5"/>
    </row>
    <row r="22" spans="1:33" ht="15.75" hidden="1" customHeight="1" x14ac:dyDescent="0.2">
      <c r="A22" s="5">
        <v>0</v>
      </c>
      <c r="B22" s="15">
        <v>13</v>
      </c>
      <c r="C22" s="15" t="s">
        <v>108</v>
      </c>
      <c r="D22" s="15"/>
      <c r="E22" s="15" t="s">
        <v>22</v>
      </c>
      <c r="F22" s="15" t="s">
        <v>86</v>
      </c>
      <c r="G22" s="15">
        <v>2013</v>
      </c>
      <c r="H22" s="15" t="str">
        <f t="shared" si="0"/>
        <v>Fisher  et al., 2013</v>
      </c>
      <c r="I22" s="15" t="s">
        <v>24</v>
      </c>
      <c r="J22" s="15" t="s">
        <v>24</v>
      </c>
      <c r="K22" s="15" t="s">
        <v>116</v>
      </c>
      <c r="L22" s="17" t="s">
        <v>148</v>
      </c>
      <c r="M22" s="15" t="s">
        <v>110</v>
      </c>
      <c r="N22" s="15" t="s">
        <v>111</v>
      </c>
      <c r="O22" s="15" t="s">
        <v>50</v>
      </c>
      <c r="P22" s="15" t="s">
        <v>112</v>
      </c>
      <c r="Q22" s="17" t="s">
        <v>50</v>
      </c>
      <c r="R22" s="15" t="s">
        <v>113</v>
      </c>
      <c r="S22" s="15"/>
      <c r="T22" s="15">
        <v>12.9</v>
      </c>
      <c r="U22" s="15"/>
      <c r="V22" s="15"/>
      <c r="W22" s="15"/>
      <c r="X22" s="15">
        <v>0.06</v>
      </c>
      <c r="Y22" s="15">
        <v>8</v>
      </c>
      <c r="Z22" s="15" t="s">
        <v>114</v>
      </c>
      <c r="AA22" s="5"/>
      <c r="AB22" s="5"/>
      <c r="AC22" s="5"/>
      <c r="AD22" s="5"/>
      <c r="AE22" s="5"/>
      <c r="AF22" s="5"/>
      <c r="AG22" s="5"/>
    </row>
    <row r="23" spans="1:33" ht="15.75" hidden="1" customHeight="1" x14ac:dyDescent="0.2">
      <c r="A23" s="5">
        <v>0</v>
      </c>
      <c r="B23" s="5">
        <v>14</v>
      </c>
      <c r="C23" s="14" t="s">
        <v>117</v>
      </c>
      <c r="D23" s="5"/>
      <c r="E23" s="5"/>
      <c r="F23" s="5" t="s">
        <v>118</v>
      </c>
      <c r="G23" s="5">
        <v>2023</v>
      </c>
      <c r="H23" s="5" t="str">
        <f t="shared" si="0"/>
        <v>Huang  et al., 2023</v>
      </c>
      <c r="I23" s="5" t="s">
        <v>24</v>
      </c>
      <c r="J23" s="5" t="s">
        <v>24</v>
      </c>
      <c r="K23" s="5" t="s">
        <v>119</v>
      </c>
      <c r="L23" s="7" t="s">
        <v>149</v>
      </c>
      <c r="M23" s="5" t="s">
        <v>120</v>
      </c>
      <c r="N23" s="5" t="s">
        <v>88</v>
      </c>
      <c r="O23" s="5" t="s">
        <v>50</v>
      </c>
      <c r="P23" s="5" t="s">
        <v>121</v>
      </c>
      <c r="Q23" s="7" t="s">
        <v>50</v>
      </c>
      <c r="R23" s="5" t="s">
        <v>122</v>
      </c>
      <c r="S23" s="5">
        <v>2808</v>
      </c>
      <c r="T23" s="5">
        <v>22.66</v>
      </c>
      <c r="U23" s="5">
        <v>78</v>
      </c>
      <c r="V23" s="5"/>
      <c r="W23" s="5"/>
      <c r="X23" s="5"/>
      <c r="Y23" s="5">
        <v>4</v>
      </c>
      <c r="Z23" s="5" t="s">
        <v>114</v>
      </c>
      <c r="AA23" s="5"/>
      <c r="AB23" s="5"/>
      <c r="AC23" s="5"/>
      <c r="AD23" s="5"/>
      <c r="AE23" s="5"/>
      <c r="AF23" s="5"/>
      <c r="AG23" s="5"/>
    </row>
    <row r="24" spans="1:33" s="31" customFormat="1" ht="15.75" hidden="1" customHeight="1" x14ac:dyDescent="0.2">
      <c r="A24" s="34">
        <v>0</v>
      </c>
      <c r="B24" s="34">
        <v>5</v>
      </c>
      <c r="C24" s="35" t="s">
        <v>61</v>
      </c>
      <c r="D24" s="34"/>
      <c r="E24" s="34" t="s">
        <v>22</v>
      </c>
      <c r="F24" s="34" t="s">
        <v>62</v>
      </c>
      <c r="G24" s="34">
        <v>2017</v>
      </c>
      <c r="H24" s="34" t="str">
        <f t="shared" si="0"/>
        <v>Moffa et al., 2017</v>
      </c>
      <c r="I24" s="34" t="s">
        <v>24</v>
      </c>
      <c r="J24" s="34" t="s">
        <v>24</v>
      </c>
      <c r="K24" s="34" t="s">
        <v>63</v>
      </c>
      <c r="L24" s="34" t="s">
        <v>148</v>
      </c>
      <c r="M24" s="34" t="s">
        <v>64</v>
      </c>
      <c r="N24" s="34" t="s">
        <v>65</v>
      </c>
      <c r="O24" s="34" t="s">
        <v>50</v>
      </c>
      <c r="P24" s="34" t="s">
        <v>66</v>
      </c>
      <c r="Q24" s="34" t="s">
        <v>153</v>
      </c>
      <c r="R24" s="34" t="s">
        <v>67</v>
      </c>
      <c r="S24" s="34">
        <v>8580</v>
      </c>
      <c r="T24" s="34"/>
      <c r="U24" s="34"/>
      <c r="V24" s="36">
        <v>0.13</v>
      </c>
      <c r="W24" s="34">
        <v>0.02</v>
      </c>
      <c r="X24" s="34">
        <v>0.01</v>
      </c>
      <c r="Y24" s="34">
        <v>4</v>
      </c>
      <c r="Z24" s="36" t="s">
        <v>154</v>
      </c>
      <c r="AA24" s="29" t="s">
        <v>165</v>
      </c>
      <c r="AB24" s="29"/>
      <c r="AC24" s="29"/>
      <c r="AD24" s="29"/>
      <c r="AE24" s="29"/>
      <c r="AF24" s="29"/>
      <c r="AG24" s="29"/>
    </row>
    <row r="25" spans="1:33" ht="15.75" hidden="1" customHeight="1" x14ac:dyDescent="0.2">
      <c r="A25" s="5">
        <v>0</v>
      </c>
      <c r="B25" s="5">
        <v>16</v>
      </c>
      <c r="C25" s="5" t="s">
        <v>129</v>
      </c>
      <c r="D25" s="5"/>
      <c r="E25" s="5"/>
      <c r="F25" s="5" t="s">
        <v>130</v>
      </c>
      <c r="G25" s="5">
        <v>2014</v>
      </c>
      <c r="H25" s="5" t="str">
        <f t="shared" si="0"/>
        <v>Wolke et al., 2014</v>
      </c>
      <c r="I25" s="5" t="s">
        <v>38</v>
      </c>
      <c r="J25" s="5" t="s">
        <v>38</v>
      </c>
      <c r="K25" s="5" t="s">
        <v>131</v>
      </c>
      <c r="L25" s="7" t="s">
        <v>149</v>
      </c>
      <c r="M25" s="5" t="s">
        <v>132</v>
      </c>
      <c r="N25" s="5" t="s">
        <v>133</v>
      </c>
      <c r="O25" s="5" t="s">
        <v>50</v>
      </c>
      <c r="P25" s="5" t="s">
        <v>134</v>
      </c>
      <c r="Q25" s="7" t="s">
        <v>50</v>
      </c>
      <c r="R25" s="5" t="s">
        <v>113</v>
      </c>
      <c r="S25" s="5">
        <v>4720</v>
      </c>
      <c r="T25" s="5">
        <v>17.100000000000001</v>
      </c>
      <c r="U25" s="5">
        <v>56.5</v>
      </c>
      <c r="V25" s="5"/>
      <c r="W25" s="5"/>
      <c r="X25" s="5">
        <v>4.8000000000000001E-2</v>
      </c>
      <c r="Y25" s="5">
        <v>7</v>
      </c>
      <c r="Z25" s="7" t="s">
        <v>157</v>
      </c>
      <c r="AA25" s="5"/>
      <c r="AB25" s="5"/>
      <c r="AC25" s="5"/>
      <c r="AD25" s="5"/>
      <c r="AE25" s="5"/>
      <c r="AF25" s="5"/>
      <c r="AG25" s="5"/>
    </row>
    <row r="26" spans="1:33" ht="15.75" hidden="1" customHeight="1" x14ac:dyDescent="0.2">
      <c r="A26" s="5">
        <v>0</v>
      </c>
      <c r="B26" s="5">
        <v>16</v>
      </c>
      <c r="C26" s="5" t="s">
        <v>129</v>
      </c>
      <c r="D26" s="5"/>
      <c r="E26" s="5"/>
      <c r="F26" s="5" t="s">
        <v>130</v>
      </c>
      <c r="G26" s="5">
        <v>2014</v>
      </c>
      <c r="H26" s="5" t="str">
        <f t="shared" si="0"/>
        <v>Wolke et al., 2014</v>
      </c>
      <c r="I26" s="5" t="s">
        <v>38</v>
      </c>
      <c r="J26" s="5" t="s">
        <v>38</v>
      </c>
      <c r="K26" s="5" t="s">
        <v>131</v>
      </c>
      <c r="L26" s="7" t="s">
        <v>149</v>
      </c>
      <c r="M26" s="5" t="s">
        <v>132</v>
      </c>
      <c r="N26" s="5" t="s">
        <v>133</v>
      </c>
      <c r="O26" s="5" t="s">
        <v>50</v>
      </c>
      <c r="P26" s="5" t="s">
        <v>134</v>
      </c>
      <c r="Q26" s="7" t="s">
        <v>50</v>
      </c>
      <c r="R26" s="5" t="s">
        <v>113</v>
      </c>
      <c r="S26" s="5">
        <v>4720</v>
      </c>
      <c r="T26" s="5">
        <v>17.100000000000001</v>
      </c>
      <c r="U26" s="5"/>
      <c r="V26" s="5"/>
      <c r="W26" s="5"/>
      <c r="X26" s="5">
        <v>3.7999999999999999E-2</v>
      </c>
      <c r="Y26" s="5">
        <v>7</v>
      </c>
      <c r="Z26" s="5" t="s">
        <v>114</v>
      </c>
      <c r="AA26" s="5"/>
      <c r="AB26" s="5"/>
      <c r="AC26" s="5"/>
      <c r="AD26" s="5"/>
      <c r="AE26" s="5"/>
      <c r="AF26" s="5"/>
      <c r="AG26" s="5"/>
    </row>
    <row r="27" spans="1:33" s="31" customFormat="1" ht="15.75" hidden="1" customHeight="1" x14ac:dyDescent="0.2">
      <c r="A27" s="34">
        <v>0</v>
      </c>
      <c r="B27" s="34">
        <v>11</v>
      </c>
      <c r="C27" s="37" t="s">
        <v>97</v>
      </c>
      <c r="D27" s="34"/>
      <c r="E27" s="34" t="s">
        <v>22</v>
      </c>
      <c r="F27" s="34" t="s">
        <v>98</v>
      </c>
      <c r="G27" s="34">
        <v>2018</v>
      </c>
      <c r="H27" s="34" t="str">
        <f t="shared" si="0"/>
        <v>Rosen et al., 2018</v>
      </c>
      <c r="I27" s="34" t="s">
        <v>38</v>
      </c>
      <c r="J27" s="34" t="s">
        <v>38</v>
      </c>
      <c r="K27" s="34" t="s">
        <v>47</v>
      </c>
      <c r="L27" s="34" t="s">
        <v>149</v>
      </c>
      <c r="M27" s="34" t="s">
        <v>48</v>
      </c>
      <c r="N27" s="34" t="s">
        <v>99</v>
      </c>
      <c r="O27" s="34" t="s">
        <v>50</v>
      </c>
      <c r="P27" s="34" t="s">
        <v>100</v>
      </c>
      <c r="Q27" s="34" t="s">
        <v>153</v>
      </c>
      <c r="R27" s="34" t="s">
        <v>101</v>
      </c>
      <c r="S27" s="34">
        <v>61</v>
      </c>
      <c r="T27" s="34"/>
      <c r="U27" s="34">
        <v>54</v>
      </c>
      <c r="V27" s="34">
        <v>0.14000000000000001</v>
      </c>
      <c r="W27" s="34">
        <v>0.08</v>
      </c>
      <c r="X27" s="34">
        <v>0.22</v>
      </c>
      <c r="Y27" s="34">
        <v>6</v>
      </c>
      <c r="Z27" s="29" t="s">
        <v>166</v>
      </c>
      <c r="AA27" s="29" t="s">
        <v>165</v>
      </c>
      <c r="AB27" s="29"/>
      <c r="AC27" s="29"/>
      <c r="AD27" s="29"/>
      <c r="AE27" s="29"/>
      <c r="AF27" s="29"/>
      <c r="AG27" s="29"/>
    </row>
    <row r="28" spans="1:33" s="31" customFormat="1" ht="15.75" hidden="1" customHeight="1" x14ac:dyDescent="0.2">
      <c r="A28" s="34">
        <v>0</v>
      </c>
      <c r="B28" s="34">
        <v>17</v>
      </c>
      <c r="C28" s="38" t="s">
        <v>135</v>
      </c>
      <c r="D28" s="34"/>
      <c r="E28" s="34" t="s">
        <v>22</v>
      </c>
      <c r="F28" s="34" t="s">
        <v>136</v>
      </c>
      <c r="G28" s="34">
        <v>2016</v>
      </c>
      <c r="H28" s="34" t="str">
        <f t="shared" si="0"/>
        <v>Yamasaki et al., 2016</v>
      </c>
      <c r="I28" s="34" t="s">
        <v>38</v>
      </c>
      <c r="J28" s="34" t="s">
        <v>38</v>
      </c>
      <c r="K28" s="34" t="s">
        <v>47</v>
      </c>
      <c r="L28" s="34" t="s">
        <v>149</v>
      </c>
      <c r="M28" s="34" t="s">
        <v>137</v>
      </c>
      <c r="N28" s="34" t="s">
        <v>133</v>
      </c>
      <c r="O28" s="34" t="s">
        <v>50</v>
      </c>
      <c r="P28" s="34" t="s">
        <v>138</v>
      </c>
      <c r="Q28" s="34" t="s">
        <v>153</v>
      </c>
      <c r="R28" s="34" t="s">
        <v>139</v>
      </c>
      <c r="S28" s="34">
        <v>4277</v>
      </c>
      <c r="T28" s="34">
        <v>9.8000000000000007</v>
      </c>
      <c r="U28" s="34">
        <v>46.9</v>
      </c>
      <c r="V28" s="34">
        <v>0.22</v>
      </c>
      <c r="W28" s="34">
        <v>-0.03</v>
      </c>
      <c r="X28" s="34">
        <v>0.02</v>
      </c>
      <c r="Y28" s="34">
        <v>4</v>
      </c>
      <c r="Z28" s="34"/>
      <c r="AA28" s="29" t="s">
        <v>165</v>
      </c>
      <c r="AB28" s="29"/>
      <c r="AC28" s="29"/>
      <c r="AD28" s="29"/>
      <c r="AE28" s="29"/>
      <c r="AF28" s="29"/>
      <c r="AG28" s="29"/>
    </row>
    <row r="29" spans="1:33" ht="15.75" customHeight="1" x14ac:dyDescent="0.2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5.75" customHeight="1" x14ac:dyDescent="0.2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5.75" customHeight="1" x14ac:dyDescent="0.2">
      <c r="B31" s="5"/>
      <c r="C31" s="28" t="s">
        <v>167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5.75" customHeight="1" x14ac:dyDescent="0.2">
      <c r="B32" s="5"/>
      <c r="C32" s="39" t="s">
        <v>168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2:33" ht="15.75" customHeight="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2:33" ht="15.75" customHeight="1" x14ac:dyDescent="0.2">
      <c r="B34" s="5"/>
      <c r="C34" s="28" t="s">
        <v>169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2:33" ht="15.75" customHeight="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2:33" ht="15.75" customHeight="1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2:33" ht="15.75" customHeight="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2:33" ht="15.75" customHeight="1" x14ac:dyDescent="0.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2:33" ht="15.75" customHeight="1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2:33" ht="15.75" customHeight="1" x14ac:dyDescent="0.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2:33" ht="15.75" customHeight="1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2:33" ht="15.75" customHeight="1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2:33" ht="15.75" customHeight="1" x14ac:dyDescent="0.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2:33" ht="15.75" customHeight="1" x14ac:dyDescent="0.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2:33" ht="15.75" customHeight="1" x14ac:dyDescent="0.2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2:33" ht="15.75" customHeight="1" x14ac:dyDescent="0.2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2:33" ht="15.75" customHeight="1" x14ac:dyDescent="0.2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2:33" ht="15.75" customHeight="1" x14ac:dyDescent="0.2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2:33" ht="15.75" customHeight="1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2:33" ht="15.75" customHeight="1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2:33" ht="15.75" customHeight="1" x14ac:dyDescent="0.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2:33" ht="15.75" customHeight="1" x14ac:dyDescent="0.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2:33" ht="15.75" customHeight="1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2:33" ht="15.75" customHeight="1" x14ac:dyDescent="0.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2:33" ht="15.75" customHeight="1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2:33" ht="15.75" customHeight="1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2:33" ht="15.75" customHeight="1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2:33" ht="15.75" customHeight="1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2:33" ht="15.75" customHeight="1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2:33" ht="15.75" customHeight="1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2:33" ht="15.75" customHeight="1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2:33" ht="15.75" customHeight="1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2:33" ht="15.75" customHeight="1" x14ac:dyDescent="0.2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2:33" ht="15.75" customHeight="1" x14ac:dyDescent="0.2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2:33" ht="15.75" customHeight="1" x14ac:dyDescent="0.2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2:33" ht="15.75" customHeight="1" x14ac:dyDescent="0.2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2:33" ht="15.75" customHeight="1" x14ac:dyDescent="0.2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2:33" ht="15.75" customHeight="1" x14ac:dyDescent="0.2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2:33" ht="15.75" customHeight="1" x14ac:dyDescent="0.2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2:33" ht="15.75" customHeight="1" x14ac:dyDescent="0.2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2:33" ht="15.75" customHeight="1" x14ac:dyDescent="0.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2:33" ht="15.75" customHeight="1" x14ac:dyDescent="0.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2:33" ht="15.75" customHeight="1" x14ac:dyDescent="0.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2:33" ht="15.75" customHeight="1" x14ac:dyDescent="0.2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2:33" ht="15.75" customHeight="1" x14ac:dyDescent="0.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2:33" ht="15.75" customHeight="1" x14ac:dyDescent="0.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2:33" ht="15.75" customHeight="1" x14ac:dyDescent="0.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2:33" ht="15.75" customHeight="1" x14ac:dyDescent="0.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2:33" ht="15.75" customHeight="1" x14ac:dyDescent="0.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2:33" ht="15.75" customHeight="1" x14ac:dyDescent="0.2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2:33" ht="15.75" customHeight="1" x14ac:dyDescent="0.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2:33" ht="15.75" customHeight="1" x14ac:dyDescent="0.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2:33" ht="15.75" customHeight="1" x14ac:dyDescent="0.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2:33" ht="15.75" customHeight="1" x14ac:dyDescent="0.2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2:33" ht="15.75" customHeight="1" x14ac:dyDescent="0.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2:33" ht="15.75" customHeight="1" x14ac:dyDescent="0.2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2:33" ht="15.75" customHeight="1" x14ac:dyDescent="0.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2:33" ht="15.75" customHeight="1" x14ac:dyDescent="0.2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2:33" ht="15.75" customHeight="1" x14ac:dyDescent="0.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2:33" ht="15.75" customHeight="1" x14ac:dyDescent="0.2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2:33" ht="15.75" customHeight="1" x14ac:dyDescent="0.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2:33" ht="15.75" customHeight="1" x14ac:dyDescent="0.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2:33" ht="15.75" customHeight="1" x14ac:dyDescent="0.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2:33" ht="15.75" customHeight="1" x14ac:dyDescent="0.2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2:33" ht="15.75" customHeight="1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2:33" ht="15.75" customHeight="1" x14ac:dyDescent="0.2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2:33" ht="15.75" customHeight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2:33" ht="15.75" customHeight="1" x14ac:dyDescent="0.2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2:33" ht="15.75" customHeight="1" x14ac:dyDescent="0.2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2:33" ht="15.75" customHeight="1" x14ac:dyDescent="0.2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2:33" ht="15.75" customHeight="1" x14ac:dyDescent="0.2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2:33" ht="15.75" customHeight="1" x14ac:dyDescent="0.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2:33" ht="15.75" customHeight="1" x14ac:dyDescent="0.2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2:33" ht="15.75" customHeight="1" x14ac:dyDescent="0.2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2:33" ht="15.75" customHeight="1" x14ac:dyDescent="0.2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2:33" ht="15.75" customHeight="1" x14ac:dyDescent="0.2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2:33" ht="15.75" customHeight="1" x14ac:dyDescent="0.2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2:33" ht="15.75" customHeight="1" x14ac:dyDescent="0.2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2:33" ht="15.75" customHeight="1" x14ac:dyDescent="0.2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2:33" ht="15.75" customHeight="1" x14ac:dyDescent="0.2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2:33" ht="15.75" customHeight="1" x14ac:dyDescent="0.2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2:33" ht="15.75" customHeight="1" x14ac:dyDescent="0.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2:33" ht="15.75" customHeight="1" x14ac:dyDescent="0.2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2:33" ht="15.75" customHeight="1" x14ac:dyDescent="0.2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2:33" ht="15.75" customHeight="1" x14ac:dyDescent="0.2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2:33" ht="15.75" customHeight="1" x14ac:dyDescent="0.2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2:33" ht="15.75" customHeight="1" x14ac:dyDescent="0.2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2:33" ht="15.75" customHeight="1" x14ac:dyDescent="0.2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2:33" ht="15.75" customHeight="1" x14ac:dyDescent="0.2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2:33" ht="15.75" customHeight="1" x14ac:dyDescent="0.2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2:33" ht="15.75" customHeight="1" x14ac:dyDescent="0.2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2:33" ht="15.75" customHeight="1" x14ac:dyDescent="0.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2:33" ht="15.75" customHeight="1" x14ac:dyDescent="0.2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2:33" ht="15.75" customHeight="1" x14ac:dyDescent="0.2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2:33" ht="15.75" customHeight="1" x14ac:dyDescent="0.2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2:33" ht="15.75" customHeight="1" x14ac:dyDescent="0.2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2:33" ht="15.75" customHeight="1" x14ac:dyDescent="0.2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2:33" ht="15.75" customHeight="1" x14ac:dyDescent="0.2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2:33" ht="15.75" customHeight="1" x14ac:dyDescent="0.2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2:33" ht="15.75" customHeight="1" x14ac:dyDescent="0.2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2:33" ht="15.75" customHeight="1" x14ac:dyDescent="0.2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2:33" ht="15.75" customHeight="1" x14ac:dyDescent="0.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2:33" ht="15.75" customHeight="1" x14ac:dyDescent="0.2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2:33" ht="15.75" customHeight="1" x14ac:dyDescent="0.2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2:33" ht="15.75" customHeight="1" x14ac:dyDescent="0.2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2:33" ht="15.75" customHeight="1" x14ac:dyDescent="0.2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2:33" ht="15.75" customHeight="1" x14ac:dyDescent="0.2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2:33" ht="15.75" customHeight="1" x14ac:dyDescent="0.2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2:33" ht="15.75" customHeight="1" x14ac:dyDescent="0.2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2:33" ht="15.75" customHeight="1" x14ac:dyDescent="0.2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2:33" ht="15.75" customHeight="1" x14ac:dyDescent="0.2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2:33" ht="15.75" customHeight="1" x14ac:dyDescent="0.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2:33" ht="15.75" customHeight="1" x14ac:dyDescent="0.2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2:33" ht="15.75" customHeight="1" x14ac:dyDescent="0.2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2:33" ht="15.75" customHeight="1" x14ac:dyDescent="0.2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2:33" ht="15.75" customHeight="1" x14ac:dyDescent="0.2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2:33" ht="15.75" customHeight="1" x14ac:dyDescent="0.2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2:33" ht="15.75" customHeight="1" x14ac:dyDescent="0.2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2:33" ht="15.75" customHeight="1" x14ac:dyDescent="0.2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2:33" ht="15.75" customHeight="1" x14ac:dyDescent="0.2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2:33" ht="15.75" customHeight="1" x14ac:dyDescent="0.2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2:33" ht="15.75" customHeight="1" x14ac:dyDescent="0.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2:33" ht="15.75" customHeight="1" x14ac:dyDescent="0.2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2:33" ht="15.75" customHeight="1" x14ac:dyDescent="0.2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2:33" ht="15.75" customHeight="1" x14ac:dyDescent="0.2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2:33" ht="15.75" customHeight="1" x14ac:dyDescent="0.2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2:33" ht="15.75" customHeight="1" x14ac:dyDescent="0.2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2:33" ht="15.75" customHeight="1" x14ac:dyDescent="0.2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2:33" ht="15.75" customHeight="1" x14ac:dyDescent="0.2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2:33" ht="15.75" customHeight="1" x14ac:dyDescent="0.2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2:33" ht="15.75" customHeight="1" x14ac:dyDescent="0.2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2:33" ht="15.75" customHeight="1" x14ac:dyDescent="0.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2:33" ht="15.75" customHeight="1" x14ac:dyDescent="0.2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2:33" ht="15.75" customHeight="1" x14ac:dyDescent="0.2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2:33" ht="15.75" customHeight="1" x14ac:dyDescent="0.2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2:33" ht="15.75" customHeight="1" x14ac:dyDescent="0.2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2:33" ht="15.75" customHeight="1" x14ac:dyDescent="0.2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2:33" ht="15.75" customHeight="1" x14ac:dyDescent="0.2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2:33" ht="15.75" customHeight="1" x14ac:dyDescent="0.2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2:33" ht="15.75" customHeight="1" x14ac:dyDescent="0.2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2:33" ht="15.75" customHeight="1" x14ac:dyDescent="0.2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2:33" ht="15.75" customHeight="1" x14ac:dyDescent="0.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2:33" ht="15.75" customHeight="1" x14ac:dyDescent="0.2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2:33" ht="15.75" customHeight="1" x14ac:dyDescent="0.2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2:33" ht="15.75" customHeight="1" x14ac:dyDescent="0.2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2:33" ht="15.75" customHeight="1" x14ac:dyDescent="0.2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2:33" ht="15.75" customHeight="1" x14ac:dyDescent="0.2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2:33" ht="15.75" customHeight="1" x14ac:dyDescent="0.2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2:33" ht="15.75" customHeight="1" x14ac:dyDescent="0.2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2:33" ht="15.75" customHeight="1" x14ac:dyDescent="0.2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2:33" ht="15.75" customHeight="1" x14ac:dyDescent="0.2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2:33" ht="15.75" customHeight="1" x14ac:dyDescent="0.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2:33" ht="15.75" customHeight="1" x14ac:dyDescent="0.2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2:33" ht="15.75" customHeight="1" x14ac:dyDescent="0.2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2:33" ht="15.75" customHeight="1" x14ac:dyDescent="0.2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2:33" ht="15.75" customHeight="1" x14ac:dyDescent="0.2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2:33" ht="15.75" customHeight="1" x14ac:dyDescent="0.2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2:33" ht="15.75" customHeight="1" x14ac:dyDescent="0.2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2:33" ht="15.75" customHeight="1" x14ac:dyDescent="0.2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2:33" ht="15.75" customHeight="1" x14ac:dyDescent="0.2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2:33" ht="15.75" customHeight="1" x14ac:dyDescent="0.2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2:33" ht="15.75" customHeight="1" x14ac:dyDescent="0.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2:33" ht="15.75" customHeight="1" x14ac:dyDescent="0.2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2:33" ht="15.75" customHeight="1" x14ac:dyDescent="0.2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2:33" ht="15.75" customHeight="1" x14ac:dyDescent="0.2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2:33" ht="15.75" customHeight="1" x14ac:dyDescent="0.2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2:33" ht="15.75" customHeight="1" x14ac:dyDescent="0.2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2:33" ht="15.75" customHeight="1" x14ac:dyDescent="0.2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2:33" ht="15.75" customHeight="1" x14ac:dyDescent="0.2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2:33" ht="15.75" customHeight="1" x14ac:dyDescent="0.2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2:33" ht="15.75" customHeight="1" x14ac:dyDescent="0.2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2:33" ht="15.75" customHeight="1" x14ac:dyDescent="0.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2:33" ht="15.75" customHeight="1" x14ac:dyDescent="0.2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2:33" ht="15.75" customHeight="1" x14ac:dyDescent="0.2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2:33" ht="15.75" customHeight="1" x14ac:dyDescent="0.2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2:33" ht="15.75" customHeight="1" x14ac:dyDescent="0.2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2:33" ht="15.75" customHeight="1" x14ac:dyDescent="0.2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2:33" ht="15.75" customHeight="1" x14ac:dyDescent="0.2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2:33" ht="15.75" customHeight="1" x14ac:dyDescent="0.2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2:33" ht="15.75" customHeight="1" x14ac:dyDescent="0.2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2:33" ht="15.75" customHeight="1" x14ac:dyDescent="0.2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2:33" ht="15.75" customHeight="1" x14ac:dyDescent="0.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2:33" ht="15.75" customHeight="1" x14ac:dyDescent="0.2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2:33" ht="15.75" customHeight="1" x14ac:dyDescent="0.2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2:33" ht="15.75" customHeight="1" x14ac:dyDescent="0.2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2:33" ht="15.75" customHeight="1" x14ac:dyDescent="0.2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2:33" ht="15.75" customHeight="1" x14ac:dyDescent="0.2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2:33" ht="15.75" customHeight="1" x14ac:dyDescent="0.2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2:33" ht="15.75" customHeight="1" x14ac:dyDescent="0.2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2:33" ht="15.75" customHeight="1" x14ac:dyDescent="0.2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2:33" ht="15.75" customHeight="1" x14ac:dyDescent="0.2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2:33" ht="15.75" customHeight="1" x14ac:dyDescent="0.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2:33" ht="15.75" customHeight="1" x14ac:dyDescent="0.2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2:33" ht="15.75" customHeight="1" x14ac:dyDescent="0.2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2:33" ht="15.75" customHeight="1" x14ac:dyDescent="0.2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2:33" ht="15.75" customHeight="1" x14ac:dyDescent="0.2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2:33" ht="15.75" customHeight="1" x14ac:dyDescent="0.2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2:33" ht="15.75" customHeight="1" x14ac:dyDescent="0.2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2:33" ht="15.75" customHeight="1" x14ac:dyDescent="0.2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2:33" ht="15.75" customHeight="1" x14ac:dyDescent="0.2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2:33" ht="15.75" customHeight="1" x14ac:dyDescent="0.2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2:33" ht="15.75" customHeight="1" x14ac:dyDescent="0.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2:33" ht="15.75" customHeight="1" x14ac:dyDescent="0.2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2:33" ht="15.75" customHeight="1" x14ac:dyDescent="0.2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2:33" ht="15.75" customHeight="1" x14ac:dyDescent="0.2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2:33" ht="15.75" customHeight="1" x14ac:dyDescent="0.2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2:33" ht="15.75" customHeight="1" x14ac:dyDescent="0.2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2:33" ht="15.75" customHeight="1" x14ac:dyDescent="0.2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2:33" ht="15.75" customHeight="1" x14ac:dyDescent="0.2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2:33" ht="15.75" customHeight="1" x14ac:dyDescent="0.2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2:33" ht="15.75" customHeight="1" x14ac:dyDescent="0.2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2:33" ht="15.75" customHeight="1" x14ac:dyDescent="0.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2:33" ht="15.75" customHeight="1" x14ac:dyDescent="0.2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2:33" ht="15.75" customHeight="1" x14ac:dyDescent="0.2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2:33" ht="15.75" customHeight="1" x14ac:dyDescent="0.2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2:33" ht="15.75" customHeight="1" x14ac:dyDescent="0.2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2:33" ht="15.75" customHeight="1" x14ac:dyDescent="0.2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2:33" ht="15.75" customHeight="1" x14ac:dyDescent="0.2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2:33" ht="15.75" customHeight="1" x14ac:dyDescent="0.2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2:33" ht="15.75" customHeight="1" x14ac:dyDescent="0.2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2:33" ht="15.75" customHeight="1" x14ac:dyDescent="0.2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2:33" ht="15.75" customHeight="1" x14ac:dyDescent="0.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2:33" ht="15.75" customHeight="1" x14ac:dyDescent="0.2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2:33" ht="15.75" customHeight="1" x14ac:dyDescent="0.2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2:33" ht="15.75" customHeight="1" x14ac:dyDescent="0.2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2:33" ht="15.75" customHeight="1" x14ac:dyDescent="0.2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2:33" ht="15.75" customHeight="1" x14ac:dyDescent="0.2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2:33" ht="15.75" customHeight="1" x14ac:dyDescent="0.2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2:33" ht="15.75" customHeight="1" x14ac:dyDescent="0.2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2:33" ht="15.75" customHeight="1" x14ac:dyDescent="0.2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2:33" ht="15.75" customHeight="1" x14ac:dyDescent="0.2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2:33" ht="15.75" customHeight="1" x14ac:dyDescent="0.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2:33" ht="15.75" customHeight="1" x14ac:dyDescent="0.2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2:33" ht="15.75" customHeight="1" x14ac:dyDescent="0.2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2:33" ht="15.75" customHeight="1" x14ac:dyDescent="0.2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2:33" ht="15.75" customHeight="1" x14ac:dyDescent="0.2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2:33" ht="15.75" customHeight="1" x14ac:dyDescent="0.2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2:33" ht="15.75" customHeight="1" x14ac:dyDescent="0.2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2:33" ht="15.75" customHeight="1" x14ac:dyDescent="0.2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2:33" ht="15.75" customHeight="1" x14ac:dyDescent="0.2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2:33" ht="15.75" customHeight="1" x14ac:dyDescent="0.2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2:33" ht="15.75" customHeight="1" x14ac:dyDescent="0.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2:33" ht="15.75" customHeight="1" x14ac:dyDescent="0.2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2:33" ht="15.75" customHeight="1" x14ac:dyDescent="0.2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2:33" ht="15.75" customHeight="1" x14ac:dyDescent="0.2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2:33" ht="15.75" customHeight="1" x14ac:dyDescent="0.2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2:33" ht="15.75" customHeight="1" x14ac:dyDescent="0.2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2:33" ht="15.75" customHeight="1" x14ac:dyDescent="0.2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2:33" ht="15.75" customHeight="1" x14ac:dyDescent="0.2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2:33" ht="15.75" customHeight="1" x14ac:dyDescent="0.2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2:33" ht="15.75" customHeight="1" x14ac:dyDescent="0.2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2:33" ht="15.75" customHeight="1" x14ac:dyDescent="0.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2:33" ht="15.75" customHeight="1" x14ac:dyDescent="0.2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2:33" ht="15.75" customHeight="1" x14ac:dyDescent="0.2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2:33" ht="15.75" customHeight="1" x14ac:dyDescent="0.2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2:33" ht="15.75" customHeight="1" x14ac:dyDescent="0.2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2:33" ht="15.75" customHeight="1" x14ac:dyDescent="0.2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2:33" ht="15.75" customHeight="1" x14ac:dyDescent="0.2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2:33" ht="15.75" customHeight="1" x14ac:dyDescent="0.2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2:33" ht="15.75" customHeight="1" x14ac:dyDescent="0.2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2:33" ht="15.75" customHeight="1" x14ac:dyDescent="0.2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2:33" ht="15.75" customHeight="1" x14ac:dyDescent="0.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2:33" ht="15.75" customHeight="1" x14ac:dyDescent="0.2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2:33" ht="15.75" customHeight="1" x14ac:dyDescent="0.2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2:33" ht="15.75" customHeight="1" x14ac:dyDescent="0.2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2:33" ht="15.75" customHeight="1" x14ac:dyDescent="0.2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2:33" ht="15.75" customHeight="1" x14ac:dyDescent="0.2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2:33" ht="15.75" customHeight="1" x14ac:dyDescent="0.2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2:33" ht="15.75" customHeight="1" x14ac:dyDescent="0.2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2:33" ht="15.75" customHeight="1" x14ac:dyDescent="0.2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2:33" ht="15.75" customHeight="1" x14ac:dyDescent="0.2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2:33" ht="15.75" customHeight="1" x14ac:dyDescent="0.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2:33" ht="15.75" customHeight="1" x14ac:dyDescent="0.2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2:33" ht="15.75" customHeight="1" x14ac:dyDescent="0.2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2:33" ht="15.75" customHeight="1" x14ac:dyDescent="0.2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2:33" ht="15.75" customHeight="1" x14ac:dyDescent="0.2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2:33" ht="15.75" customHeight="1" x14ac:dyDescent="0.2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2:33" ht="15.75" customHeight="1" x14ac:dyDescent="0.2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2:33" ht="15.75" customHeight="1" x14ac:dyDescent="0.2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2:33" ht="15.75" customHeight="1" x14ac:dyDescent="0.2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2:33" ht="15.75" customHeight="1" x14ac:dyDescent="0.2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2:33" ht="15.75" customHeight="1" x14ac:dyDescent="0.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2:33" ht="15.75" customHeight="1" x14ac:dyDescent="0.2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2:33" ht="15.75" customHeight="1" x14ac:dyDescent="0.2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2:33" ht="15.75" customHeight="1" x14ac:dyDescent="0.2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2:33" ht="15.75" customHeight="1" x14ac:dyDescent="0.2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2:33" ht="15.75" customHeight="1" x14ac:dyDescent="0.2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2:33" ht="15.75" customHeight="1" x14ac:dyDescent="0.2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2:33" ht="15.75" customHeight="1" x14ac:dyDescent="0.2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2:33" ht="15.75" customHeight="1" x14ac:dyDescent="0.2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2:33" ht="15.75" customHeight="1" x14ac:dyDescent="0.2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2:33" ht="15.75" customHeight="1" x14ac:dyDescent="0.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2:33" ht="15.75" customHeight="1" x14ac:dyDescent="0.2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2:33" ht="15.75" customHeight="1" x14ac:dyDescent="0.2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2:33" ht="15.75" customHeight="1" x14ac:dyDescent="0.2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2:33" ht="15.75" customHeight="1" x14ac:dyDescent="0.2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2:33" ht="15.75" customHeight="1" x14ac:dyDescent="0.2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2:33" ht="15.75" customHeight="1" x14ac:dyDescent="0.2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2:33" ht="15.75" customHeight="1" x14ac:dyDescent="0.2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2:33" ht="15.75" customHeight="1" x14ac:dyDescent="0.2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2:33" ht="15.75" customHeight="1" x14ac:dyDescent="0.2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2:33" ht="15.75" customHeight="1" x14ac:dyDescent="0.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2:33" ht="15.75" customHeight="1" x14ac:dyDescent="0.2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2:33" ht="15.75" customHeight="1" x14ac:dyDescent="0.2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2:33" ht="15.75" customHeight="1" x14ac:dyDescent="0.2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2:33" ht="15.75" customHeight="1" x14ac:dyDescent="0.2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2:33" ht="15.75" customHeight="1" x14ac:dyDescent="0.2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2:33" ht="15.75" customHeight="1" x14ac:dyDescent="0.2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2:33" ht="15.75" customHeight="1" x14ac:dyDescent="0.2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2:33" ht="15.75" customHeight="1" x14ac:dyDescent="0.2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2:33" ht="15.75" customHeight="1" x14ac:dyDescent="0.2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2:33" ht="15.75" customHeight="1" x14ac:dyDescent="0.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2:33" ht="15.75" customHeight="1" x14ac:dyDescent="0.2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2:33" ht="15.75" customHeight="1" x14ac:dyDescent="0.2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2:33" ht="15.75" customHeight="1" x14ac:dyDescent="0.2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2:33" ht="15.75" customHeight="1" x14ac:dyDescent="0.2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2:33" ht="15.75" customHeight="1" x14ac:dyDescent="0.2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2:33" ht="15.75" customHeight="1" x14ac:dyDescent="0.2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2:33" ht="15.75" customHeight="1" x14ac:dyDescent="0.2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2:33" ht="15.75" customHeight="1" x14ac:dyDescent="0.2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2:33" ht="15.75" customHeight="1" x14ac:dyDescent="0.2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2:33" ht="15.75" customHeight="1" x14ac:dyDescent="0.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2:33" ht="15.75" customHeight="1" x14ac:dyDescent="0.2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2:33" ht="15.75" customHeight="1" x14ac:dyDescent="0.2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2:33" ht="15.75" customHeight="1" x14ac:dyDescent="0.2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2:33" ht="15.75" customHeight="1" x14ac:dyDescent="0.2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2:33" ht="15.75" customHeight="1" x14ac:dyDescent="0.2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2:33" ht="15.75" customHeight="1" x14ac:dyDescent="0.2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2:33" ht="15.75" customHeight="1" x14ac:dyDescent="0.2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2:33" ht="15.75" customHeight="1" x14ac:dyDescent="0.2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2:33" ht="15.75" customHeight="1" x14ac:dyDescent="0.2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2:33" ht="15.75" customHeight="1" x14ac:dyDescent="0.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2:33" ht="15.75" customHeight="1" x14ac:dyDescent="0.2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2:33" ht="15.75" customHeight="1" x14ac:dyDescent="0.2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2:33" ht="15.75" customHeight="1" x14ac:dyDescent="0.2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2:33" ht="15.75" customHeight="1" x14ac:dyDescent="0.2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2:33" ht="15.75" customHeight="1" x14ac:dyDescent="0.2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2:33" ht="15.75" customHeight="1" x14ac:dyDescent="0.2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2:33" ht="15.75" customHeight="1" x14ac:dyDescent="0.2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2:33" ht="15.75" customHeight="1" x14ac:dyDescent="0.2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2:33" ht="15.75" customHeight="1" x14ac:dyDescent="0.2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2:33" ht="15.75" customHeight="1" x14ac:dyDescent="0.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2:33" ht="15.75" customHeight="1" x14ac:dyDescent="0.2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2:33" ht="15.75" customHeight="1" x14ac:dyDescent="0.2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2:33" ht="15.75" customHeight="1" x14ac:dyDescent="0.2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2:33" ht="15.75" customHeight="1" x14ac:dyDescent="0.2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2:33" ht="15.75" customHeight="1" x14ac:dyDescent="0.2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2:33" ht="15.75" customHeight="1" x14ac:dyDescent="0.2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2:33" ht="15.75" customHeight="1" x14ac:dyDescent="0.2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2:33" ht="15.75" customHeight="1" x14ac:dyDescent="0.2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2:33" ht="15.75" customHeight="1" x14ac:dyDescent="0.2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2:33" ht="15.75" customHeight="1" x14ac:dyDescent="0.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2:33" ht="15.75" customHeight="1" x14ac:dyDescent="0.2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2:33" ht="15.75" customHeight="1" x14ac:dyDescent="0.2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2:33" ht="15.75" customHeight="1" x14ac:dyDescent="0.2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2:33" ht="15.75" customHeight="1" x14ac:dyDescent="0.2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2:33" ht="15.75" customHeight="1" x14ac:dyDescent="0.2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2:33" ht="15.75" customHeight="1" x14ac:dyDescent="0.2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2:33" ht="15.75" customHeight="1" x14ac:dyDescent="0.2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2:33" ht="15.75" customHeight="1" x14ac:dyDescent="0.2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2:33" ht="15.75" customHeight="1" x14ac:dyDescent="0.2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2:33" ht="15.75" customHeight="1" x14ac:dyDescent="0.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2:33" ht="15.75" customHeight="1" x14ac:dyDescent="0.2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2:33" ht="15.75" customHeight="1" x14ac:dyDescent="0.2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2:33" ht="15.75" customHeight="1" x14ac:dyDescent="0.2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2:33" ht="15.75" customHeight="1" x14ac:dyDescent="0.2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2:33" ht="15.75" customHeight="1" x14ac:dyDescent="0.2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2:33" ht="15.75" customHeight="1" x14ac:dyDescent="0.2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2:33" ht="15.75" customHeight="1" x14ac:dyDescent="0.2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2:33" ht="15.75" customHeight="1" x14ac:dyDescent="0.2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2:33" ht="15.75" customHeight="1" x14ac:dyDescent="0.2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2:33" ht="15.75" customHeight="1" x14ac:dyDescent="0.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2:33" ht="15.75" customHeight="1" x14ac:dyDescent="0.2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2:33" ht="15.75" customHeight="1" x14ac:dyDescent="0.2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2:33" ht="15.75" customHeight="1" x14ac:dyDescent="0.2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2:33" ht="15.75" customHeight="1" x14ac:dyDescent="0.2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2:33" ht="15.75" customHeight="1" x14ac:dyDescent="0.2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2:33" ht="15.75" customHeight="1" x14ac:dyDescent="0.2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2:33" ht="15.75" customHeight="1" x14ac:dyDescent="0.2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2:33" ht="15.75" customHeight="1" x14ac:dyDescent="0.2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2:33" ht="15.75" customHeight="1" x14ac:dyDescent="0.2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2:33" ht="15.75" customHeight="1" x14ac:dyDescent="0.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2:33" ht="15.75" customHeight="1" x14ac:dyDescent="0.2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2:33" ht="15.75" customHeight="1" x14ac:dyDescent="0.2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2:33" ht="15.75" customHeight="1" x14ac:dyDescent="0.2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2:33" ht="15.75" customHeight="1" x14ac:dyDescent="0.2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2:33" ht="15.75" customHeight="1" x14ac:dyDescent="0.2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2:33" ht="15.75" customHeight="1" x14ac:dyDescent="0.2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2:33" ht="15.75" customHeight="1" x14ac:dyDescent="0.2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2:33" ht="15.75" customHeight="1" x14ac:dyDescent="0.2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2:33" ht="15.75" customHeight="1" x14ac:dyDescent="0.2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2:33" ht="15.75" customHeight="1" x14ac:dyDescent="0.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2:33" ht="15.75" customHeight="1" x14ac:dyDescent="0.2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2:33" ht="15.75" customHeight="1" x14ac:dyDescent="0.2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2:33" ht="15.75" customHeight="1" x14ac:dyDescent="0.2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2:33" ht="15.75" customHeight="1" x14ac:dyDescent="0.2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2:33" ht="15.75" customHeight="1" x14ac:dyDescent="0.2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2:33" ht="15.75" customHeight="1" x14ac:dyDescent="0.2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2:33" ht="15.75" customHeight="1" x14ac:dyDescent="0.2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2:33" ht="15.75" customHeight="1" x14ac:dyDescent="0.2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2:33" ht="15.75" customHeight="1" x14ac:dyDescent="0.2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2:33" ht="15.75" customHeight="1" x14ac:dyDescent="0.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2:33" ht="15.75" customHeight="1" x14ac:dyDescent="0.2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2:33" ht="15.75" customHeight="1" x14ac:dyDescent="0.2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2:33" ht="15.75" customHeight="1" x14ac:dyDescent="0.2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2:33" ht="15.75" customHeight="1" x14ac:dyDescent="0.2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2:33" ht="15.75" customHeight="1" x14ac:dyDescent="0.2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2:33" ht="15.75" customHeight="1" x14ac:dyDescent="0.2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2:33" ht="15.75" customHeight="1" x14ac:dyDescent="0.2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2:33" ht="15.75" customHeight="1" x14ac:dyDescent="0.2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2:33" ht="15.75" customHeight="1" x14ac:dyDescent="0.2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2:33" ht="15.75" customHeight="1" x14ac:dyDescent="0.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2:33" ht="15.75" customHeight="1" x14ac:dyDescent="0.2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2:33" ht="15.75" customHeight="1" x14ac:dyDescent="0.2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2:33" ht="15.75" customHeight="1" x14ac:dyDescent="0.2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2:33" ht="15.75" customHeight="1" x14ac:dyDescent="0.2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2:33" ht="15.75" customHeight="1" x14ac:dyDescent="0.2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2:33" ht="15.75" customHeight="1" x14ac:dyDescent="0.2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2:33" ht="15.75" customHeight="1" x14ac:dyDescent="0.2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2:33" ht="15.75" customHeight="1" x14ac:dyDescent="0.2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2:33" ht="15.75" customHeight="1" x14ac:dyDescent="0.2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2:33" ht="15.75" customHeight="1" x14ac:dyDescent="0.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2:33" ht="15.75" customHeight="1" x14ac:dyDescent="0.2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2:33" ht="15.75" customHeight="1" x14ac:dyDescent="0.2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2:33" ht="15.75" customHeight="1" x14ac:dyDescent="0.2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2:33" ht="15.75" customHeight="1" x14ac:dyDescent="0.2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2:33" ht="15.75" customHeight="1" x14ac:dyDescent="0.2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2:33" ht="15.75" customHeight="1" x14ac:dyDescent="0.2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2:33" ht="15.75" customHeight="1" x14ac:dyDescent="0.2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2:33" ht="15.75" customHeight="1" x14ac:dyDescent="0.2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2:33" ht="15.75" customHeight="1" x14ac:dyDescent="0.2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2:33" ht="15.75" customHeight="1" x14ac:dyDescent="0.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2:33" ht="15.75" customHeight="1" x14ac:dyDescent="0.2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2:33" ht="15.75" customHeight="1" x14ac:dyDescent="0.2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2:33" ht="15.75" customHeight="1" x14ac:dyDescent="0.2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2:33" ht="15.75" customHeight="1" x14ac:dyDescent="0.2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2:33" ht="15.75" customHeight="1" x14ac:dyDescent="0.2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2:33" ht="15.75" customHeight="1" x14ac:dyDescent="0.2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2:33" ht="15.75" customHeight="1" x14ac:dyDescent="0.2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2:33" ht="15.75" customHeight="1" x14ac:dyDescent="0.2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2:33" ht="15.75" customHeight="1" x14ac:dyDescent="0.2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2:33" ht="15.75" customHeight="1" x14ac:dyDescent="0.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2:33" ht="15.75" customHeight="1" x14ac:dyDescent="0.2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2:33" ht="15.75" customHeight="1" x14ac:dyDescent="0.2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2:33" ht="15.75" customHeight="1" x14ac:dyDescent="0.2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2:33" ht="15.75" customHeight="1" x14ac:dyDescent="0.2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2:33" ht="15.75" customHeight="1" x14ac:dyDescent="0.2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2:33" ht="15.75" customHeight="1" x14ac:dyDescent="0.2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2:33" ht="15.75" customHeight="1" x14ac:dyDescent="0.2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2:33" ht="15.75" customHeight="1" x14ac:dyDescent="0.2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2:33" ht="15.75" customHeight="1" x14ac:dyDescent="0.2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2:33" ht="15.75" customHeight="1" x14ac:dyDescent="0.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2:33" ht="15.75" customHeight="1" x14ac:dyDescent="0.2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2:33" ht="15.75" customHeight="1" x14ac:dyDescent="0.2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2:33" ht="15.75" customHeight="1" x14ac:dyDescent="0.2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2:33" ht="15.75" customHeight="1" x14ac:dyDescent="0.2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2:33" ht="15.75" customHeight="1" x14ac:dyDescent="0.2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2:33" ht="15.75" customHeight="1" x14ac:dyDescent="0.2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2:33" ht="15.75" customHeight="1" x14ac:dyDescent="0.2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2:33" ht="15.75" customHeight="1" x14ac:dyDescent="0.2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2:33" ht="15.75" customHeight="1" x14ac:dyDescent="0.2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2:33" ht="15.75" customHeight="1" x14ac:dyDescent="0.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2:33" ht="15.75" customHeight="1" x14ac:dyDescent="0.2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2:33" ht="15.75" customHeight="1" x14ac:dyDescent="0.2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2:33" ht="15.75" customHeight="1" x14ac:dyDescent="0.2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2:33" ht="15.75" customHeight="1" x14ac:dyDescent="0.2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2:33" ht="15.75" customHeight="1" x14ac:dyDescent="0.2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2:33" ht="15.75" customHeight="1" x14ac:dyDescent="0.2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2:33" ht="15.75" customHeight="1" x14ac:dyDescent="0.2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2:33" ht="15.75" customHeight="1" x14ac:dyDescent="0.2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2:33" ht="15.75" customHeight="1" x14ac:dyDescent="0.2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2:33" ht="15.75" customHeight="1" x14ac:dyDescent="0.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2:33" ht="15.75" customHeight="1" x14ac:dyDescent="0.2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2:33" ht="15.75" customHeight="1" x14ac:dyDescent="0.2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2:33" ht="15.75" customHeight="1" x14ac:dyDescent="0.2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2:33" ht="15.75" customHeight="1" x14ac:dyDescent="0.2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2:33" ht="15.75" customHeight="1" x14ac:dyDescent="0.2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2:33" ht="15.75" customHeight="1" x14ac:dyDescent="0.2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2:33" ht="15.75" customHeight="1" x14ac:dyDescent="0.2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2:33" ht="15.75" customHeight="1" x14ac:dyDescent="0.2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2:33" ht="15.75" customHeight="1" x14ac:dyDescent="0.2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2:33" ht="15.75" customHeight="1" x14ac:dyDescent="0.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2:33" ht="15.75" customHeight="1" x14ac:dyDescent="0.2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2:33" ht="15.75" customHeight="1" x14ac:dyDescent="0.2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2:33" ht="15.75" customHeight="1" x14ac:dyDescent="0.2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2:33" ht="15.75" customHeight="1" x14ac:dyDescent="0.2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2:33" ht="15.75" customHeight="1" x14ac:dyDescent="0.2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2:33" ht="15.75" customHeight="1" x14ac:dyDescent="0.2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2:33" ht="15.75" customHeight="1" x14ac:dyDescent="0.2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2:33" ht="15.75" customHeight="1" x14ac:dyDescent="0.2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2:33" ht="15.75" customHeight="1" x14ac:dyDescent="0.2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2:33" ht="15.75" customHeight="1" x14ac:dyDescent="0.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2:33" ht="15.75" customHeight="1" x14ac:dyDescent="0.2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2:33" ht="15.75" customHeight="1" x14ac:dyDescent="0.2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2:33" ht="15.75" customHeight="1" x14ac:dyDescent="0.2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2:33" ht="15.75" customHeight="1" x14ac:dyDescent="0.2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2:33" ht="15.75" customHeight="1" x14ac:dyDescent="0.2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2:33" ht="15.75" customHeight="1" x14ac:dyDescent="0.2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2:33" ht="15.75" customHeight="1" x14ac:dyDescent="0.2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2:33" ht="15.75" customHeight="1" x14ac:dyDescent="0.2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2:33" ht="15.75" customHeight="1" x14ac:dyDescent="0.2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2:33" ht="15.75" customHeight="1" x14ac:dyDescent="0.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2:33" ht="15.75" customHeight="1" x14ac:dyDescent="0.2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2:33" ht="15.75" customHeight="1" x14ac:dyDescent="0.2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2:33" ht="15.75" customHeight="1" x14ac:dyDescent="0.2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2:33" ht="15.75" customHeight="1" x14ac:dyDescent="0.2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2:33" ht="15.75" customHeight="1" x14ac:dyDescent="0.2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2:33" ht="15.75" customHeight="1" x14ac:dyDescent="0.2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2:33" ht="15.75" customHeight="1" x14ac:dyDescent="0.2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2:33" ht="15.75" customHeight="1" x14ac:dyDescent="0.2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2:33" ht="15.75" customHeight="1" x14ac:dyDescent="0.2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2:33" ht="15.75" customHeight="1" x14ac:dyDescent="0.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2:33" ht="15.75" customHeight="1" x14ac:dyDescent="0.2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2:33" ht="15.75" customHeight="1" x14ac:dyDescent="0.2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2:33" ht="15.75" customHeight="1" x14ac:dyDescent="0.2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2:33" ht="15.75" customHeight="1" x14ac:dyDescent="0.2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2:33" ht="15.75" customHeight="1" x14ac:dyDescent="0.2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2:33" ht="15.75" customHeight="1" x14ac:dyDescent="0.2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2:33" ht="15.75" customHeight="1" x14ac:dyDescent="0.2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2:33" ht="15.75" customHeight="1" x14ac:dyDescent="0.2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2:33" ht="15.75" customHeight="1" x14ac:dyDescent="0.2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2:33" ht="15.75" customHeight="1" x14ac:dyDescent="0.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2:33" ht="15.75" customHeight="1" x14ac:dyDescent="0.2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2:33" ht="15.75" customHeight="1" x14ac:dyDescent="0.2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2:33" ht="15.75" customHeight="1" x14ac:dyDescent="0.2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2:33" ht="15.75" customHeight="1" x14ac:dyDescent="0.2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2:33" ht="15.75" customHeight="1" x14ac:dyDescent="0.2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2:33" ht="15.75" customHeight="1" x14ac:dyDescent="0.2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2:33" ht="15.75" customHeight="1" x14ac:dyDescent="0.2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2:33" ht="15.75" customHeight="1" x14ac:dyDescent="0.2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2:33" ht="15.75" customHeight="1" x14ac:dyDescent="0.2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2:33" ht="15.75" customHeight="1" x14ac:dyDescent="0.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2:33" ht="15.75" customHeight="1" x14ac:dyDescent="0.2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2:33" ht="15.75" customHeight="1" x14ac:dyDescent="0.2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2:33" ht="15.75" customHeight="1" x14ac:dyDescent="0.2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2:33" ht="15.75" customHeight="1" x14ac:dyDescent="0.2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2:33" ht="15.75" customHeight="1" x14ac:dyDescent="0.2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2:33" ht="15.75" customHeight="1" x14ac:dyDescent="0.2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2:33" ht="15.75" customHeight="1" x14ac:dyDescent="0.2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2:33" ht="15.75" customHeight="1" x14ac:dyDescent="0.2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2:33" ht="15.75" customHeight="1" x14ac:dyDescent="0.2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2:33" ht="15.75" customHeight="1" x14ac:dyDescent="0.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2:33" ht="15.75" customHeight="1" x14ac:dyDescent="0.2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2:33" ht="15.75" customHeight="1" x14ac:dyDescent="0.2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2:33" ht="15.75" customHeight="1" x14ac:dyDescent="0.2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2:33" ht="15.75" customHeight="1" x14ac:dyDescent="0.2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2:33" ht="15.75" customHeight="1" x14ac:dyDescent="0.2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2:33" ht="15.75" customHeight="1" x14ac:dyDescent="0.2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2:33" ht="15.75" customHeight="1" x14ac:dyDescent="0.2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2:33" ht="15.75" customHeight="1" x14ac:dyDescent="0.2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2:33" ht="15.75" customHeight="1" x14ac:dyDescent="0.2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2:33" ht="15.75" customHeight="1" x14ac:dyDescent="0.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2:33" ht="15.75" customHeight="1" x14ac:dyDescent="0.2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2:33" ht="15.75" customHeight="1" x14ac:dyDescent="0.2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2:33" ht="15.75" customHeight="1" x14ac:dyDescent="0.2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2:33" ht="15.75" customHeight="1" x14ac:dyDescent="0.2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2:33" ht="15.75" customHeight="1" x14ac:dyDescent="0.2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2:33" ht="15.75" customHeight="1" x14ac:dyDescent="0.2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2:33" ht="15.75" customHeight="1" x14ac:dyDescent="0.2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2:33" ht="15.75" customHeight="1" x14ac:dyDescent="0.2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2:33" ht="15.75" customHeight="1" x14ac:dyDescent="0.2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2:33" ht="15.75" customHeight="1" x14ac:dyDescent="0.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2:33" ht="15.75" customHeight="1" x14ac:dyDescent="0.2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2:33" ht="15.75" customHeight="1" x14ac:dyDescent="0.2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2:33" ht="15.75" customHeight="1" x14ac:dyDescent="0.2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2:33" ht="15.75" customHeight="1" x14ac:dyDescent="0.2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2:33" ht="15.75" customHeight="1" x14ac:dyDescent="0.2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2:33" ht="15.75" customHeight="1" x14ac:dyDescent="0.2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2:33" ht="15.75" customHeight="1" x14ac:dyDescent="0.2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2:33" ht="15.75" customHeight="1" x14ac:dyDescent="0.2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2:33" ht="15.75" customHeight="1" x14ac:dyDescent="0.2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2:33" ht="15.75" customHeight="1" x14ac:dyDescent="0.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2:33" ht="15.75" customHeight="1" x14ac:dyDescent="0.2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2:33" ht="15.75" customHeight="1" x14ac:dyDescent="0.2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2:33" ht="15.75" customHeight="1" x14ac:dyDescent="0.2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2:33" ht="15.75" customHeight="1" x14ac:dyDescent="0.2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2:33" ht="15.75" customHeight="1" x14ac:dyDescent="0.2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2:33" ht="15.75" customHeight="1" x14ac:dyDescent="0.2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2:33" ht="15.75" customHeight="1" x14ac:dyDescent="0.2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2:33" ht="15.75" customHeight="1" x14ac:dyDescent="0.2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2:33" ht="15.75" customHeight="1" x14ac:dyDescent="0.2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2:33" ht="15.75" customHeight="1" x14ac:dyDescent="0.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2:33" ht="15.75" customHeight="1" x14ac:dyDescent="0.2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2:33" ht="15.75" customHeight="1" x14ac:dyDescent="0.2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2:33" ht="15.75" customHeight="1" x14ac:dyDescent="0.2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2:33" ht="15.75" customHeight="1" x14ac:dyDescent="0.2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2:33" ht="15.75" customHeight="1" x14ac:dyDescent="0.2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2:33" ht="15.75" customHeight="1" x14ac:dyDescent="0.2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2:33" ht="15.75" customHeight="1" x14ac:dyDescent="0.2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2:33" ht="15.75" customHeight="1" x14ac:dyDescent="0.2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2:33" ht="15.75" customHeight="1" x14ac:dyDescent="0.2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2:33" ht="15.75" customHeight="1" x14ac:dyDescent="0.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2:33" ht="15.75" customHeight="1" x14ac:dyDescent="0.2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2:33" ht="15.75" customHeight="1" x14ac:dyDescent="0.2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2:33" ht="15.75" customHeight="1" x14ac:dyDescent="0.2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2:33" ht="15.75" customHeight="1" x14ac:dyDescent="0.2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2:33" ht="15.75" customHeight="1" x14ac:dyDescent="0.2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2:33" ht="15.75" customHeight="1" x14ac:dyDescent="0.2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2:33" ht="15.75" customHeight="1" x14ac:dyDescent="0.2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2:33" ht="15.75" customHeight="1" x14ac:dyDescent="0.2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2:33" ht="15.75" customHeight="1" x14ac:dyDescent="0.2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2:33" ht="15.75" customHeight="1" x14ac:dyDescent="0.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2:33" ht="15.75" customHeight="1" x14ac:dyDescent="0.2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2:33" ht="15.75" customHeight="1" x14ac:dyDescent="0.2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2:33" ht="15.75" customHeight="1" x14ac:dyDescent="0.2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2:33" ht="15.75" customHeight="1" x14ac:dyDescent="0.2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2:33" ht="15.75" customHeight="1" x14ac:dyDescent="0.2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2:33" ht="15.75" customHeight="1" x14ac:dyDescent="0.2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2:33" ht="15.75" customHeight="1" x14ac:dyDescent="0.2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2:33" ht="15.75" customHeight="1" x14ac:dyDescent="0.2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2:33" ht="15.75" customHeight="1" x14ac:dyDescent="0.2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2:33" ht="15.75" customHeight="1" x14ac:dyDescent="0.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2:33" ht="15.75" customHeight="1" x14ac:dyDescent="0.2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2:33" ht="15.75" customHeight="1" x14ac:dyDescent="0.2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2:33" ht="15.75" customHeight="1" x14ac:dyDescent="0.2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2:33" ht="15.75" customHeight="1" x14ac:dyDescent="0.2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2:33" ht="15.75" customHeight="1" x14ac:dyDescent="0.2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2:33" ht="15.75" customHeight="1" x14ac:dyDescent="0.2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2:33" ht="15.75" customHeight="1" x14ac:dyDescent="0.2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2:33" ht="15.75" customHeight="1" x14ac:dyDescent="0.2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2:33" ht="15.75" customHeight="1" x14ac:dyDescent="0.2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2:33" ht="15.75" customHeight="1" x14ac:dyDescent="0.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2:33" ht="15.75" customHeight="1" x14ac:dyDescent="0.2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2:33" ht="15.75" customHeight="1" x14ac:dyDescent="0.2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2:33" ht="15.75" customHeight="1" x14ac:dyDescent="0.2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2:33" ht="15.75" customHeight="1" x14ac:dyDescent="0.2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2:33" ht="15.75" customHeight="1" x14ac:dyDescent="0.2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2:33" ht="15.75" customHeight="1" x14ac:dyDescent="0.2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2:33" ht="15.75" customHeight="1" x14ac:dyDescent="0.2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2:33" ht="15.75" customHeight="1" x14ac:dyDescent="0.2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2:33" ht="15.75" customHeight="1" x14ac:dyDescent="0.2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2:33" ht="15.75" customHeight="1" x14ac:dyDescent="0.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2:33" ht="15.75" customHeight="1" x14ac:dyDescent="0.2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2:33" ht="15.75" customHeight="1" x14ac:dyDescent="0.2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2:33" ht="15.75" customHeight="1" x14ac:dyDescent="0.2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2:33" ht="15.75" customHeight="1" x14ac:dyDescent="0.2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2:33" ht="15.75" customHeight="1" x14ac:dyDescent="0.2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2:33" ht="15.75" customHeight="1" x14ac:dyDescent="0.2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2:33" ht="15.75" customHeight="1" x14ac:dyDescent="0.2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2:33" ht="15.75" customHeight="1" x14ac:dyDescent="0.2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2:33" ht="15.75" customHeight="1" x14ac:dyDescent="0.2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2:33" ht="15.75" customHeight="1" x14ac:dyDescent="0.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2:33" ht="15.75" customHeight="1" x14ac:dyDescent="0.2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2:33" ht="15.75" customHeight="1" x14ac:dyDescent="0.2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2:33" ht="15.75" customHeight="1" x14ac:dyDescent="0.2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2:33" ht="15.75" customHeight="1" x14ac:dyDescent="0.2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2:33" ht="15.75" customHeight="1" x14ac:dyDescent="0.2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2:33" ht="15.75" customHeight="1" x14ac:dyDescent="0.2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2:33" ht="15.75" customHeight="1" x14ac:dyDescent="0.2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2:33" ht="15.75" customHeight="1" x14ac:dyDescent="0.2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2:33" ht="15.75" customHeight="1" x14ac:dyDescent="0.2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2:33" ht="15.75" customHeight="1" x14ac:dyDescent="0.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2:33" ht="15.75" customHeight="1" x14ac:dyDescent="0.2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2:33" ht="15.75" customHeight="1" x14ac:dyDescent="0.2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2:33" ht="15.75" customHeight="1" x14ac:dyDescent="0.2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2:33" ht="15.75" customHeight="1" x14ac:dyDescent="0.2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2:33" ht="15.75" customHeight="1" x14ac:dyDescent="0.2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2:33" ht="15.75" customHeight="1" x14ac:dyDescent="0.2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2:33" ht="15.75" customHeight="1" x14ac:dyDescent="0.2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2:33" ht="15.75" customHeight="1" x14ac:dyDescent="0.2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2:33" ht="15.75" customHeight="1" x14ac:dyDescent="0.2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2:33" ht="15.75" customHeight="1" x14ac:dyDescent="0.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2:33" ht="15.75" customHeight="1" x14ac:dyDescent="0.2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2:33" ht="15.75" customHeight="1" x14ac:dyDescent="0.2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2:33" ht="15.75" customHeight="1" x14ac:dyDescent="0.2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2:33" ht="15.75" customHeight="1" x14ac:dyDescent="0.2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2:33" ht="15.75" customHeight="1" x14ac:dyDescent="0.2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2:33" ht="15.75" customHeight="1" x14ac:dyDescent="0.2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2:33" ht="15.75" customHeight="1" x14ac:dyDescent="0.2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2:33" ht="15.75" customHeight="1" x14ac:dyDescent="0.2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2:33" ht="15.75" customHeight="1" x14ac:dyDescent="0.2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2:33" ht="15.75" customHeight="1" x14ac:dyDescent="0.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2:33" ht="15.75" customHeight="1" x14ac:dyDescent="0.2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2:33" ht="15.75" customHeight="1" x14ac:dyDescent="0.2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2:33" ht="15.75" customHeight="1" x14ac:dyDescent="0.2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2:33" ht="15.75" customHeight="1" x14ac:dyDescent="0.2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2:33" ht="15.75" customHeight="1" x14ac:dyDescent="0.2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2:33" ht="15.75" customHeight="1" x14ac:dyDescent="0.2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2:33" ht="15.75" customHeight="1" x14ac:dyDescent="0.2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2:33" ht="15.75" customHeight="1" x14ac:dyDescent="0.2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2:33" ht="15.75" customHeight="1" x14ac:dyDescent="0.2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2:33" ht="15.75" customHeight="1" x14ac:dyDescent="0.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2:33" ht="15.75" customHeight="1" x14ac:dyDescent="0.2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2:33" ht="15.75" customHeight="1" x14ac:dyDescent="0.2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2:33" ht="15.75" customHeight="1" x14ac:dyDescent="0.2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2:33" ht="15.75" customHeight="1" x14ac:dyDescent="0.2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2:33" ht="15.75" customHeight="1" x14ac:dyDescent="0.2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2:33" ht="15.75" customHeight="1" x14ac:dyDescent="0.2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2:33" ht="15.75" customHeight="1" x14ac:dyDescent="0.2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2:33" ht="15.75" customHeight="1" x14ac:dyDescent="0.2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2:33" ht="15.75" customHeight="1" x14ac:dyDescent="0.2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2:33" ht="15.75" customHeight="1" x14ac:dyDescent="0.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2:33" ht="15.75" customHeight="1" x14ac:dyDescent="0.2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2:33" ht="15.75" customHeight="1" x14ac:dyDescent="0.2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2:33" ht="15.75" customHeight="1" x14ac:dyDescent="0.2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2:33" ht="15.75" customHeight="1" x14ac:dyDescent="0.2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2:33" ht="15.75" customHeight="1" x14ac:dyDescent="0.2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2:33" ht="15.75" customHeight="1" x14ac:dyDescent="0.2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2:33" ht="15.75" customHeight="1" x14ac:dyDescent="0.2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2:33" ht="15.75" customHeight="1" x14ac:dyDescent="0.2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2:33" ht="15.75" customHeight="1" x14ac:dyDescent="0.2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2:33" ht="15.75" customHeight="1" x14ac:dyDescent="0.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2:33" ht="15.75" customHeight="1" x14ac:dyDescent="0.2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2:33" ht="15.75" customHeight="1" x14ac:dyDescent="0.2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2:33" ht="15.75" customHeight="1" x14ac:dyDescent="0.2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2:33" ht="15.75" customHeight="1" x14ac:dyDescent="0.2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2:33" ht="15.75" customHeight="1" x14ac:dyDescent="0.2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2:33" ht="15.75" customHeight="1" x14ac:dyDescent="0.2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2:33" ht="15.75" customHeight="1" x14ac:dyDescent="0.2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2:33" ht="15.75" customHeight="1" x14ac:dyDescent="0.2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2:33" ht="15.75" customHeight="1" x14ac:dyDescent="0.2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2:33" ht="15.75" customHeight="1" x14ac:dyDescent="0.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2:33" ht="15.75" customHeight="1" x14ac:dyDescent="0.2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2:33" ht="15.75" customHeight="1" x14ac:dyDescent="0.2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2:33" ht="15.75" customHeight="1" x14ac:dyDescent="0.2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2:33" ht="15.75" customHeight="1" x14ac:dyDescent="0.2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2:33" ht="15.75" customHeight="1" x14ac:dyDescent="0.2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2:33" ht="15.75" customHeight="1" x14ac:dyDescent="0.2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2:33" ht="15.75" customHeight="1" x14ac:dyDescent="0.2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2:33" ht="15.75" customHeight="1" x14ac:dyDescent="0.2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2:33" ht="15.75" customHeight="1" x14ac:dyDescent="0.2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2:33" ht="15.75" customHeight="1" x14ac:dyDescent="0.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2:33" ht="15.75" customHeight="1" x14ac:dyDescent="0.2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2:33" ht="15.75" customHeight="1" x14ac:dyDescent="0.2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2:33" ht="15.75" customHeight="1" x14ac:dyDescent="0.2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2:33" ht="15.75" customHeight="1" x14ac:dyDescent="0.2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2:33" ht="15.75" customHeight="1" x14ac:dyDescent="0.2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2:33" ht="15.75" customHeight="1" x14ac:dyDescent="0.2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2:33" ht="15.75" customHeight="1" x14ac:dyDescent="0.2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2:33" ht="15.75" customHeight="1" x14ac:dyDescent="0.2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2:33" ht="15.75" customHeight="1" x14ac:dyDescent="0.2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2:33" ht="15.75" customHeight="1" x14ac:dyDescent="0.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2:33" ht="15.75" customHeight="1" x14ac:dyDescent="0.2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2:33" ht="15.75" customHeight="1" x14ac:dyDescent="0.2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2:33" ht="15.75" customHeight="1" x14ac:dyDescent="0.2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2:33" ht="15.75" customHeight="1" x14ac:dyDescent="0.2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2:33" ht="15.75" customHeight="1" x14ac:dyDescent="0.2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2:33" ht="15.75" customHeight="1" x14ac:dyDescent="0.2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2:33" ht="15.75" customHeight="1" x14ac:dyDescent="0.2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2:33" ht="15.75" customHeight="1" x14ac:dyDescent="0.2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2:33" ht="15.75" customHeight="1" x14ac:dyDescent="0.2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2:33" ht="15.75" customHeight="1" x14ac:dyDescent="0.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2:33" ht="15.75" customHeight="1" x14ac:dyDescent="0.2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2:33" ht="15.75" customHeight="1" x14ac:dyDescent="0.2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2:33" ht="15.75" customHeight="1" x14ac:dyDescent="0.2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2:33" ht="15.75" customHeight="1" x14ac:dyDescent="0.2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2:33" ht="15.75" customHeight="1" x14ac:dyDescent="0.2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2:33" ht="15.75" customHeight="1" x14ac:dyDescent="0.2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2:33" ht="15.75" customHeight="1" x14ac:dyDescent="0.2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2:33" ht="15.75" customHeight="1" x14ac:dyDescent="0.2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2:33" ht="15.75" customHeight="1" x14ac:dyDescent="0.2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2:33" ht="15.75" customHeight="1" x14ac:dyDescent="0.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2:33" ht="15.75" customHeight="1" x14ac:dyDescent="0.2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2:33" ht="15.75" customHeight="1" x14ac:dyDescent="0.2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2:33" ht="15.75" customHeight="1" x14ac:dyDescent="0.2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2:33" ht="15.75" customHeight="1" x14ac:dyDescent="0.2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2:33" ht="15.75" customHeight="1" x14ac:dyDescent="0.2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2:33" ht="15.75" customHeight="1" x14ac:dyDescent="0.2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2:33" ht="15.75" customHeight="1" x14ac:dyDescent="0.2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2:33" ht="15.75" customHeight="1" x14ac:dyDescent="0.2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2:33" ht="15.75" customHeight="1" x14ac:dyDescent="0.2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2:33" ht="15.75" customHeight="1" x14ac:dyDescent="0.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2:33" ht="15.75" customHeight="1" x14ac:dyDescent="0.2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2:33" ht="15.75" customHeight="1" x14ac:dyDescent="0.2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2:33" ht="15.75" customHeight="1" x14ac:dyDescent="0.2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2:33" ht="15.75" customHeight="1" x14ac:dyDescent="0.2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2:33" ht="15.75" customHeight="1" x14ac:dyDescent="0.2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2:33" ht="15.75" customHeight="1" x14ac:dyDescent="0.2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2:33" ht="15.75" customHeight="1" x14ac:dyDescent="0.2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2:33" ht="15.75" customHeight="1" x14ac:dyDescent="0.2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2:33" ht="15.75" customHeight="1" x14ac:dyDescent="0.2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2:33" ht="15.75" customHeight="1" x14ac:dyDescent="0.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2:33" ht="15.75" customHeight="1" x14ac:dyDescent="0.2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2:33" ht="15.75" customHeight="1" x14ac:dyDescent="0.2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2:33" ht="15.75" customHeight="1" x14ac:dyDescent="0.2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2:33" ht="15.75" customHeight="1" x14ac:dyDescent="0.2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2:33" ht="15.75" customHeight="1" x14ac:dyDescent="0.2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2:33" ht="15.75" customHeight="1" x14ac:dyDescent="0.2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2:33" ht="15.75" customHeight="1" x14ac:dyDescent="0.2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2:33" ht="15.75" customHeight="1" x14ac:dyDescent="0.2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2:33" ht="15.75" customHeight="1" x14ac:dyDescent="0.2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2:33" ht="15.75" customHeight="1" x14ac:dyDescent="0.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2:33" ht="15.75" customHeight="1" x14ac:dyDescent="0.2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2:33" ht="15.75" customHeight="1" x14ac:dyDescent="0.2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2:33" ht="15.75" customHeight="1" x14ac:dyDescent="0.2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2:33" ht="15.75" customHeight="1" x14ac:dyDescent="0.2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2:33" ht="15.75" customHeight="1" x14ac:dyDescent="0.2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2:33" ht="15.75" customHeight="1" x14ac:dyDescent="0.2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2:33" ht="15.75" customHeight="1" x14ac:dyDescent="0.2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2:33" ht="15.75" customHeight="1" x14ac:dyDescent="0.2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2:33" ht="15.75" customHeight="1" x14ac:dyDescent="0.2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2:33" ht="15.75" customHeight="1" x14ac:dyDescent="0.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2:33" ht="15.75" customHeight="1" x14ac:dyDescent="0.2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2:33" ht="15.75" customHeight="1" x14ac:dyDescent="0.2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2:33" ht="15.75" customHeight="1" x14ac:dyDescent="0.2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2:33" ht="15.75" customHeight="1" x14ac:dyDescent="0.2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2:33" ht="15.75" customHeight="1" x14ac:dyDescent="0.2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2:33" ht="15.75" customHeight="1" x14ac:dyDescent="0.2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2:33" ht="15.75" customHeight="1" x14ac:dyDescent="0.2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2:33" ht="15.75" customHeight="1" x14ac:dyDescent="0.2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2:33" ht="15.75" customHeight="1" x14ac:dyDescent="0.2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2:33" ht="15.75" customHeight="1" x14ac:dyDescent="0.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2:33" ht="15.75" customHeight="1" x14ac:dyDescent="0.2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2:33" ht="15.75" customHeight="1" x14ac:dyDescent="0.2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2:33" ht="15.75" customHeight="1" x14ac:dyDescent="0.2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2:33" ht="15.75" customHeight="1" x14ac:dyDescent="0.2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2:33" ht="15.75" customHeight="1" x14ac:dyDescent="0.2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2:33" ht="15.75" customHeight="1" x14ac:dyDescent="0.2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2:33" ht="15.75" customHeight="1" x14ac:dyDescent="0.2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2:33" ht="15.75" customHeight="1" x14ac:dyDescent="0.2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2:33" ht="15.75" customHeight="1" x14ac:dyDescent="0.2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2:33" ht="15.75" customHeight="1" x14ac:dyDescent="0.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2:33" ht="15.75" customHeight="1" x14ac:dyDescent="0.2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2:33" ht="15.75" customHeight="1" x14ac:dyDescent="0.2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2:33" ht="15.75" customHeight="1" x14ac:dyDescent="0.2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2:33" ht="15.75" customHeight="1" x14ac:dyDescent="0.2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2:33" ht="15.75" customHeight="1" x14ac:dyDescent="0.2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2:33" ht="15.75" customHeight="1" x14ac:dyDescent="0.2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2:33" ht="15.75" customHeight="1" x14ac:dyDescent="0.2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2:33" ht="15.75" customHeight="1" x14ac:dyDescent="0.2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2:33" ht="15.75" customHeight="1" x14ac:dyDescent="0.2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2:33" ht="15.75" customHeight="1" x14ac:dyDescent="0.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2:33" ht="15.75" customHeight="1" x14ac:dyDescent="0.2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2:33" ht="15.75" customHeight="1" x14ac:dyDescent="0.2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2:33" ht="15.75" customHeight="1" x14ac:dyDescent="0.2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2:33" ht="15.75" customHeight="1" x14ac:dyDescent="0.2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2:33" ht="15.75" customHeight="1" x14ac:dyDescent="0.2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2:33" ht="15.75" customHeight="1" x14ac:dyDescent="0.2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2:33" ht="15.75" customHeight="1" x14ac:dyDescent="0.2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2:33" ht="15.75" customHeight="1" x14ac:dyDescent="0.2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2:33" ht="15.75" customHeight="1" x14ac:dyDescent="0.2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2:33" ht="15.75" customHeight="1" x14ac:dyDescent="0.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2:33" ht="15.75" customHeight="1" x14ac:dyDescent="0.2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2:33" ht="15.75" customHeight="1" x14ac:dyDescent="0.2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2:33" ht="15.75" customHeight="1" x14ac:dyDescent="0.2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2:33" ht="15.75" customHeight="1" x14ac:dyDescent="0.2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2:33" ht="15.75" customHeight="1" x14ac:dyDescent="0.2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2:33" ht="15.75" customHeight="1" x14ac:dyDescent="0.2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2:33" ht="15.75" customHeight="1" x14ac:dyDescent="0.2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2:33" ht="15.75" customHeight="1" x14ac:dyDescent="0.2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2:33" ht="15.75" customHeight="1" x14ac:dyDescent="0.2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2:33" ht="15.75" customHeight="1" x14ac:dyDescent="0.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2:33" ht="15.75" customHeight="1" x14ac:dyDescent="0.2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2:33" ht="15.75" customHeight="1" x14ac:dyDescent="0.2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2:33" ht="15.75" customHeight="1" x14ac:dyDescent="0.2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2:33" ht="15.75" customHeight="1" x14ac:dyDescent="0.2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2:33" ht="15.75" customHeight="1" x14ac:dyDescent="0.2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2:33" ht="15.75" customHeight="1" x14ac:dyDescent="0.2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2:33" ht="15.75" customHeight="1" x14ac:dyDescent="0.2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2:33" ht="15.75" customHeight="1" x14ac:dyDescent="0.2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2:33" ht="15.75" customHeight="1" x14ac:dyDescent="0.2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2:33" ht="15.75" customHeight="1" x14ac:dyDescent="0.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2:33" ht="15.75" customHeight="1" x14ac:dyDescent="0.2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2:33" ht="15.75" customHeight="1" x14ac:dyDescent="0.2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2:33" ht="15.75" customHeight="1" x14ac:dyDescent="0.2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2:33" ht="15.75" customHeight="1" x14ac:dyDescent="0.2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2:33" ht="15.75" customHeight="1" x14ac:dyDescent="0.2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2:33" ht="15.75" customHeight="1" x14ac:dyDescent="0.2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2:33" ht="15.75" customHeight="1" x14ac:dyDescent="0.2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2:33" ht="15.75" customHeight="1" x14ac:dyDescent="0.2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2:33" ht="15.75" customHeight="1" x14ac:dyDescent="0.2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2:33" ht="15.75" customHeight="1" x14ac:dyDescent="0.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2:33" ht="15.75" customHeight="1" x14ac:dyDescent="0.2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2:33" ht="15.75" customHeight="1" x14ac:dyDescent="0.2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2:33" ht="15.75" customHeight="1" x14ac:dyDescent="0.2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2:33" ht="15.75" customHeight="1" x14ac:dyDescent="0.2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2:33" ht="15.75" customHeight="1" x14ac:dyDescent="0.2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2:33" ht="15.75" customHeight="1" x14ac:dyDescent="0.2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2:33" ht="15.75" customHeight="1" x14ac:dyDescent="0.2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2:33" ht="15.75" customHeight="1" x14ac:dyDescent="0.2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2:33" ht="15.75" customHeight="1" x14ac:dyDescent="0.2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2:33" ht="15.75" customHeight="1" x14ac:dyDescent="0.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2:33" ht="15.75" customHeight="1" x14ac:dyDescent="0.2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2:33" ht="15.75" customHeight="1" x14ac:dyDescent="0.2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2:33" ht="15.75" customHeight="1" x14ac:dyDescent="0.2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2:33" ht="15.75" customHeight="1" x14ac:dyDescent="0.2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2:33" ht="15.75" customHeight="1" x14ac:dyDescent="0.2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2:33" ht="15.75" customHeight="1" x14ac:dyDescent="0.2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2:33" ht="15.75" customHeight="1" x14ac:dyDescent="0.2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2:33" ht="15.75" customHeight="1" x14ac:dyDescent="0.2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2:33" ht="15.75" customHeight="1" x14ac:dyDescent="0.2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2:33" ht="15.75" customHeight="1" x14ac:dyDescent="0.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2:33" ht="15.75" customHeight="1" x14ac:dyDescent="0.2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2:33" ht="15.75" customHeight="1" x14ac:dyDescent="0.2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2:33" ht="15.75" customHeight="1" x14ac:dyDescent="0.2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2:33" ht="15.75" customHeight="1" x14ac:dyDescent="0.2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2:33" ht="15.75" customHeight="1" x14ac:dyDescent="0.2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2:33" ht="15.75" customHeight="1" x14ac:dyDescent="0.2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2:33" ht="15.75" customHeight="1" x14ac:dyDescent="0.2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2:33" ht="15.75" customHeight="1" x14ac:dyDescent="0.2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2:33" ht="15.75" customHeight="1" x14ac:dyDescent="0.2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2:33" ht="15.75" customHeight="1" x14ac:dyDescent="0.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2:33" ht="15.75" customHeight="1" x14ac:dyDescent="0.2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2:33" ht="15.75" customHeight="1" x14ac:dyDescent="0.2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2:33" ht="15.75" customHeight="1" x14ac:dyDescent="0.2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2:33" ht="15.75" customHeight="1" x14ac:dyDescent="0.2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2:33" ht="15.75" customHeight="1" x14ac:dyDescent="0.2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2:33" ht="15.75" customHeight="1" x14ac:dyDescent="0.2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2:33" ht="15.75" customHeight="1" x14ac:dyDescent="0.2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2:33" ht="15.75" customHeight="1" x14ac:dyDescent="0.2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2:33" ht="15.75" customHeight="1" x14ac:dyDescent="0.2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2:33" ht="15.75" customHeight="1" x14ac:dyDescent="0.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spans="2:33" ht="15.75" customHeight="1" x14ac:dyDescent="0.2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spans="2:33" ht="15.75" customHeight="1" x14ac:dyDescent="0.2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spans="2:33" ht="15.75" customHeight="1" x14ac:dyDescent="0.2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spans="2:33" ht="15.75" customHeight="1" x14ac:dyDescent="0.2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spans="2:33" ht="15.75" customHeight="1" x14ac:dyDescent="0.2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spans="2:33" ht="15.75" customHeight="1" x14ac:dyDescent="0.2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spans="2:33" ht="15.75" customHeight="1" x14ac:dyDescent="0.2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spans="2:33" ht="15.75" customHeight="1" x14ac:dyDescent="0.2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spans="2:33" ht="15.75" customHeight="1" x14ac:dyDescent="0.2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spans="2:33" ht="15.75" customHeight="1" x14ac:dyDescent="0.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spans="2:33" ht="15.75" customHeight="1" x14ac:dyDescent="0.2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spans="2:33" ht="15.75" customHeight="1" x14ac:dyDescent="0.2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spans="2:33" ht="15.75" customHeight="1" x14ac:dyDescent="0.2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spans="2:33" ht="15.75" customHeight="1" x14ac:dyDescent="0.2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spans="2:33" ht="15.75" customHeight="1" x14ac:dyDescent="0.2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spans="2:33" ht="15.75" customHeight="1" x14ac:dyDescent="0.2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spans="2:33" ht="15.75" customHeight="1" x14ac:dyDescent="0.2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spans="2:33" ht="15.75" customHeight="1" x14ac:dyDescent="0.2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spans="2:33" ht="15.75" customHeight="1" x14ac:dyDescent="0.2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spans="2:33" ht="15.75" customHeight="1" x14ac:dyDescent="0.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spans="2:33" ht="15.75" customHeight="1" x14ac:dyDescent="0.2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spans="2:33" ht="15.75" customHeight="1" x14ac:dyDescent="0.2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spans="2:33" ht="15.75" customHeight="1" x14ac:dyDescent="0.2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spans="2:33" ht="15.75" customHeight="1" x14ac:dyDescent="0.2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spans="2:33" ht="15.75" customHeight="1" x14ac:dyDescent="0.2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spans="2:33" ht="15.75" customHeight="1" x14ac:dyDescent="0.2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spans="2:33" ht="15.75" customHeight="1" x14ac:dyDescent="0.2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spans="2:33" ht="15.75" customHeight="1" x14ac:dyDescent="0.2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spans="2:33" ht="15.75" customHeight="1" x14ac:dyDescent="0.2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spans="2:33" ht="15.75" customHeight="1" x14ac:dyDescent="0.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spans="2:33" ht="15.75" customHeight="1" x14ac:dyDescent="0.2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spans="2:33" ht="15.75" customHeight="1" x14ac:dyDescent="0.2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spans="2:33" ht="15.75" customHeight="1" x14ac:dyDescent="0.2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spans="2:33" ht="15.75" customHeight="1" x14ac:dyDescent="0.2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spans="2:33" ht="15.75" customHeight="1" x14ac:dyDescent="0.2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spans="2:33" ht="15.75" customHeight="1" x14ac:dyDescent="0.2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spans="2:33" ht="15.75" customHeight="1" x14ac:dyDescent="0.2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spans="2:33" ht="15.75" customHeight="1" x14ac:dyDescent="0.2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spans="2:33" ht="15.75" customHeight="1" x14ac:dyDescent="0.2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spans="2:33" ht="15.75" customHeight="1" x14ac:dyDescent="0.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spans="2:33" ht="15.75" customHeight="1" x14ac:dyDescent="0.2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spans="2:33" ht="15.75" customHeight="1" x14ac:dyDescent="0.2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spans="2:33" ht="15.75" customHeight="1" x14ac:dyDescent="0.2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spans="2:33" ht="15.75" customHeight="1" x14ac:dyDescent="0.2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spans="2:33" ht="15.75" customHeight="1" x14ac:dyDescent="0.2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spans="2:33" ht="15.75" customHeight="1" x14ac:dyDescent="0.2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spans="2:33" ht="15.75" customHeight="1" x14ac:dyDescent="0.2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spans="2:33" ht="15.75" customHeight="1" x14ac:dyDescent="0.2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spans="2:33" ht="15.75" customHeight="1" x14ac:dyDescent="0.2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spans="2:33" ht="15.75" customHeight="1" x14ac:dyDescent="0.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spans="2:33" ht="15.75" customHeight="1" x14ac:dyDescent="0.2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</sheetData>
  <autoFilter ref="A1:AG28" xr:uid="{00000000-0001-0000-0000-000000000000}">
    <filterColumn colId="0">
      <filters>
        <filter val="1"/>
      </filters>
    </filterColumn>
  </autoFilter>
  <hyperlinks>
    <hyperlink ref="C8" r:id="rId1" xr:uid="{00000000-0004-0000-0000-000000000000}"/>
    <hyperlink ref="C10" r:id="rId2" xr:uid="{00000000-0004-0000-0000-000001000000}"/>
    <hyperlink ref="C16" r:id="rId3" xr:uid="{00000000-0004-0000-0000-000002000000}"/>
    <hyperlink ref="C11" r:id="rId4" xr:uid="{00000000-0004-0000-0000-000003000000}"/>
    <hyperlink ref="C27" r:id="rId5" xr:uid="{00000000-0004-0000-0000-000004000000}"/>
    <hyperlink ref="C9" r:id="rId6" xr:uid="{00000000-0004-0000-0000-000005000000}"/>
    <hyperlink ref="C23" r:id="rId7" xr:uid="{00000000-0004-0000-0000-000006000000}"/>
    <hyperlink ref="C28" r:id="rId8" xr:uid="{00000000-0004-0000-0000-00000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 Bici</dc:creator>
  <cp:lastModifiedBy>rodolfo rossi</cp:lastModifiedBy>
  <dcterms:created xsi:type="dcterms:W3CDTF">2025-12-04T14:03:15Z</dcterms:created>
  <dcterms:modified xsi:type="dcterms:W3CDTF">2026-06-19T14:07:10Z</dcterms:modified>
</cp:coreProperties>
</file>