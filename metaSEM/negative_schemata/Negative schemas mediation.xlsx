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roma2-my.sharepoint.com/personal/rodolfo_rossi_uniroma2_eu/Documents/Research projects/metaSEM/negative schemata/"/>
    </mc:Choice>
  </mc:AlternateContent>
  <xr:revisionPtr revIDLastSave="23" documentId="11_6556189C6C4101321CED933FC10EC6D8FFFA8C27" xr6:coauthVersionLast="47" xr6:coauthVersionMax="47" xr10:uidLastSave="{DD2D0C21-D1B4-184C-8A5E-20EDA4F1452F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9" i="1"/>
  <c r="I4" i="1"/>
  <c r="I9" i="1"/>
  <c r="I5" i="1"/>
  <c r="I6" i="1"/>
  <c r="I7" i="1"/>
  <c r="I20" i="1"/>
  <c r="I8" i="1"/>
  <c r="I10" i="1"/>
  <c r="I11" i="1"/>
  <c r="I17" i="1"/>
  <c r="I12" i="1"/>
  <c r="I13" i="1"/>
  <c r="I14" i="1"/>
  <c r="I15" i="1"/>
  <c r="I3" i="1"/>
  <c r="I21" i="1"/>
  <c r="I2" i="1"/>
  <c r="I18" i="1"/>
</calcChain>
</file>

<file path=xl/sharedStrings.xml><?xml version="1.0" encoding="utf-8"?>
<sst xmlns="http://schemas.openxmlformats.org/spreadsheetml/2006/main" count="219" uniqueCount="142">
  <si>
    <t xml:space="preserve">DOI </t>
  </si>
  <si>
    <t>Lora</t>
  </si>
  <si>
    <t>Inès</t>
  </si>
  <si>
    <t>Luis</t>
  </si>
  <si>
    <t>Natalia</t>
  </si>
  <si>
    <t>studyID</t>
  </si>
  <si>
    <t>Study ID_author</t>
  </si>
  <si>
    <t>year</t>
  </si>
  <si>
    <t>sample_type</t>
  </si>
  <si>
    <t>clinicalsample (GP 1, CS 2)</t>
  </si>
  <si>
    <t>trauma_type (composite 1, abuse 2, neglect 3)</t>
  </si>
  <si>
    <t>trauma_measure</t>
  </si>
  <si>
    <t>negative_schemas_instrument</t>
  </si>
  <si>
    <t xml:space="preserve">negative_schemas domain </t>
  </si>
  <si>
    <t>psychosis_construct ( 1 composite, 2 halucinations, 3 delusions)</t>
  </si>
  <si>
    <t>psychosis_scale</t>
  </si>
  <si>
    <t>N</t>
  </si>
  <si>
    <t>mean age</t>
  </si>
  <si>
    <t>%_female</t>
  </si>
  <si>
    <t>r_XM (pathway a)</t>
  </si>
  <si>
    <t>r_MY_out (Pathway b)</t>
  </si>
  <si>
    <t>r_XY_out (pathway c)</t>
  </si>
  <si>
    <t>NOS</t>
  </si>
  <si>
    <t>not correlations (when data has been converted into correlations)</t>
  </si>
  <si>
    <t>note</t>
  </si>
  <si>
    <t>DOI:10.1111/bjc.12245</t>
  </si>
  <si>
    <t>OK</t>
  </si>
  <si>
    <t>ok</t>
  </si>
  <si>
    <t>Simpson</t>
  </si>
  <si>
    <t>Psychosis</t>
  </si>
  <si>
    <t>CATS</t>
  </si>
  <si>
    <t>SDS-R</t>
  </si>
  <si>
    <t>Self-disgust</t>
  </si>
  <si>
    <t>CAPE</t>
  </si>
  <si>
    <t>for positive symptoms</t>
  </si>
  <si>
    <t>Adewuya</t>
  </si>
  <si>
    <t>CTQ-SF</t>
  </si>
  <si>
    <t>RSEQ</t>
  </si>
  <si>
    <t>Self-esteem</t>
  </si>
  <si>
    <t>PQ-B</t>
  </si>
  <si>
    <t>1953 (95 psychosis)</t>
  </si>
  <si>
    <t>NR</t>
  </si>
  <si>
    <t>Appiah</t>
  </si>
  <si>
    <t>UHR (ultra high risk)</t>
  </si>
  <si>
    <t>CTQ</t>
  </si>
  <si>
    <t>BCSS</t>
  </si>
  <si>
    <t>Negative self-schema</t>
  </si>
  <si>
    <t>PTS</t>
  </si>
  <si>
    <t xml:space="preserve">b = .264, 95% CI [.063, .465], p = .011.  r : SE ≈ (.465 - .063) / 3.92 = .103 ; t ≈ .264 / .103 = 2.57 ; r ≈ sqrt(t² / (t² + df)) ≈ .30, r_MY = .05 ;  OR = 1.19, 95% CI [1.00, 1.40], r_XY = .08; OR = 1.33, 95% CI [1.078, 1.64]
</t>
  </si>
  <si>
    <t>https://doi.org/10.1093/schizbullopen/sgad030</t>
  </si>
  <si>
    <t>Dudley</t>
  </si>
  <si>
    <t>psychosis</t>
  </si>
  <si>
    <t>PANSS</t>
  </si>
  <si>
    <t>DOI:10.5127/jep.020611</t>
  </si>
  <si>
    <t>Ashford</t>
  </si>
  <si>
    <t>GP</t>
  </si>
  <si>
    <t xml:space="preserve">Modified DIAS (indirect agression) </t>
  </si>
  <si>
    <t>GPTS — ideas of social reference</t>
  </si>
  <si>
    <t>DOI: 10.1080/13546805.2017.1387524</t>
  </si>
  <si>
    <t>Bortolon</t>
  </si>
  <si>
    <t>SQ-SF</t>
  </si>
  <si>
    <t>Launay–Slade Hallucination Scale</t>
  </si>
  <si>
    <t>β from PLS-SEM models, approximation SEM/PLS thanks to coeff from the table</t>
  </si>
  <si>
    <t>DOI: 10.1002/jclp.22690</t>
  </si>
  <si>
    <t>Boyda</t>
  </si>
  <si>
    <t>ACE-IQ</t>
  </si>
  <si>
    <t>YSQ-SF</t>
  </si>
  <si>
    <t>β médiation Mplus models</t>
  </si>
  <si>
    <t>DOI:10.3389/fpsyt.2022.1007348</t>
  </si>
  <si>
    <t>Chen</t>
  </si>
  <si>
    <t>Retrospective Bullying Questionnaire</t>
  </si>
  <si>
    <t>Rosenberg Self-Esteem Scale / RSES</t>
  </si>
  <si>
    <t>−0.12</t>
  </si>
  <si>
    <t>−0.06</t>
  </si>
  <si>
    <t>β ≈ b × SD_X / SD_Y, using the available standard deviations and the distribution of the bullying quantity to estimate its standard deviation.</t>
  </si>
  <si>
    <t>DOI: 10.1017/S003329172200071X</t>
  </si>
  <si>
    <t>Dhondt</t>
  </si>
  <si>
    <t>Parent-reported stressful life events questionnaire</t>
  </si>
  <si>
    <t>Piers-Harris Children’s Self-Concept Scale</t>
  </si>
  <si>
    <t>APSS</t>
  </si>
  <si>
    <t>none</t>
  </si>
  <si>
    <t>−.09</t>
  </si>
  <si>
    <t>For r_MY and r_XY, the ORs were converted into approximate r values using d = ln(OR) × √3 / π, then r = d / √(d² + 4). For r_XM, a conservative approximation was made based on the linear coefficient, but without the full standard deviation of the self-concept.</t>
  </si>
  <si>
    <t>DOI: 10.1016/j.psychres.2011.12.004</t>
  </si>
  <si>
    <t>Fisher</t>
  </si>
  <si>
    <t>PSQ</t>
  </si>
  <si>
    <t>r_MY and r_XY were estimated from the ORs using the conversion OR → d → r.</t>
  </si>
  <si>
    <t>DOI: 10.1016/j.schres.2018.02.005</t>
  </si>
  <si>
    <t xml:space="preserve">Gibson </t>
  </si>
  <si>
    <t>PQ</t>
  </si>
  <si>
    <t>75,6</t>
  </si>
  <si>
    <t>r_XM and r_XY were calculated from the F-statistics: r = sqrt(F / (F + df_error))</t>
  </si>
  <si>
    <t>DOI: 10.1093/schbul/sbs088</t>
  </si>
  <si>
    <t xml:space="preserve">Fisher </t>
  </si>
  <si>
    <t>bullying</t>
  </si>
  <si>
    <t>Bullying and Friendship Interview Schedule</t>
  </si>
  <si>
    <t>Harter Self-Perception Profile for Children</t>
  </si>
  <si>
    <t>PLIKSi</t>
  </si>
  <si>
    <t>r_XY was estimated based on the OR for the relationship between bullying and psychotic symptoms via OR → d → r</t>
  </si>
  <si>
    <t>DOI: 10.1093/schbul/sbw104</t>
  </si>
  <si>
    <t>Jaya</t>
  </si>
  <si>
    <t>Social adversity latent variable</t>
  </si>
  <si>
    <t xml:space="preserve"> latent SEM and reports standardised coefficients γ/β</t>
  </si>
  <si>
    <t>DOI: 10.1111/bjc.12077</t>
  </si>
  <si>
    <t>Murphy</t>
  </si>
  <si>
    <t>ELES</t>
  </si>
  <si>
    <t>PTCI</t>
  </si>
  <si>
    <t>DOI: 10.1002/cpp.1818</t>
  </si>
  <si>
    <t>Pinto-Gouveia</t>
  </si>
  <si>
    <t>IES-R</t>
  </si>
  <si>
    <t>OAS</t>
  </si>
  <si>
    <t>GPS</t>
  </si>
  <si>
    <t>Evans</t>
  </si>
  <si>
    <t>SCCS</t>
  </si>
  <si>
    <t>Self-Concept Clarity Scale</t>
  </si>
  <si>
    <t>18-38</t>
  </si>
  <si>
    <t xml:space="preserve">SCCS: b = −0.370, but with no standard deviation for the total CTQ or the SCCS, nor any usable standard error
</t>
  </si>
  <si>
    <t>doi:10.1093/schbul/sbv175</t>
  </si>
  <si>
    <t xml:space="preserve">Hardy </t>
  </si>
  <si>
    <t>THQ</t>
  </si>
  <si>
    <t>Negative Others Beliefs</t>
  </si>
  <si>
    <t>SAPS</t>
  </si>
  <si>
    <t>aMD = 3.09, SE = 1.15, p = .008; t : t = 3.09 / 1.15 = 2.69; r : r = sqrt(t² / (t² + df)), avec df approximatif basé sur n ≈ 190; r_MY = .20 = OR = 1.359; r_XY = .25 = OR = 2.568 (d = ln(OR) × √3 / π
r = d / sqrt(d² + 4)</t>
  </si>
  <si>
    <t>https://doi.org/10.1002/cpp.70187</t>
  </si>
  <si>
    <t>Network analysis</t>
  </si>
  <si>
    <t>Levi</t>
  </si>
  <si>
    <t>not possible</t>
  </si>
  <si>
    <t>LoPilato</t>
  </si>
  <si>
    <t>CHR</t>
  </si>
  <si>
    <t>CTA</t>
  </si>
  <si>
    <t>Negative Other Schemas</t>
  </si>
  <si>
    <t>SIPS</t>
  </si>
  <si>
    <t>10.1017/S0033291713000767</t>
  </si>
  <si>
    <t>Morgan</t>
  </si>
  <si>
    <t>CS</t>
  </si>
  <si>
    <t>MRC Sociodemographic Schedule</t>
  </si>
  <si>
    <t>Rosenberg Self-Esteem Scale</t>
  </si>
  <si>
    <t>ICD-10</t>
  </si>
  <si>
    <t>citation</t>
  </si>
  <si>
    <r>
      <t xml:space="preserve">DOI: </t>
    </r>
    <r>
      <rPr>
        <sz val="10"/>
        <color rgb="FF1155CC"/>
        <rFont val="Arial"/>
        <family val="2"/>
        <scheme val="minor"/>
      </rPr>
      <t>10.1016/j.schres.2025.09.030</t>
    </r>
  </si>
  <si>
    <r>
      <t xml:space="preserve">DOI: </t>
    </r>
    <r>
      <rPr>
        <sz val="10"/>
        <color rgb="FF1155CC"/>
        <rFont val="Arial"/>
        <family val="2"/>
        <scheme val="minor"/>
      </rPr>
      <t>10.1016/j.jpsychires.2017.01.003</t>
    </r>
  </si>
  <si>
    <r>
      <rPr>
        <sz val="10"/>
        <color rgb="FF1155CC"/>
        <rFont val="Arial"/>
        <family val="2"/>
        <scheme val="minor"/>
      </rPr>
      <t>10.1016/j.psychres.2015.04.053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</si>
</sst>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1155CC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21" headerRowCellStyle="Normal" dataCellStyle="Normal" totalsRowCellStyle="Normal">
  <autoFilter ref="A1:Z21" xr:uid="{00000000-000C-0000-FFFF-FFFF00000000}">
    <filterColumn colId="15">
      <filters>
        <filter val="3"/>
      </filters>
    </filterColumn>
  </autoFilter>
  <sortState xmlns:xlrd2="http://schemas.microsoft.com/office/spreadsheetml/2017/richdata2" ref="A2:Z21">
    <sortCondition ref="O1:O21"/>
  </sortState>
  <tableColumns count="26">
    <tableColumn id="2" xr3:uid="{00000000-0010-0000-0000-000002000000}" name="DOI " dataCellStyle="Normal"/>
    <tableColumn id="3" xr3:uid="{00000000-0010-0000-0000-000003000000}" name="Lora" dataCellStyle="Normal"/>
    <tableColumn id="4" xr3:uid="{00000000-0010-0000-0000-000004000000}" name="Inès" dataCellStyle="Normal"/>
    <tableColumn id="5" xr3:uid="{00000000-0010-0000-0000-000005000000}" name="Luis" dataCellStyle="Normal"/>
    <tableColumn id="6" xr3:uid="{00000000-0010-0000-0000-000006000000}" name="Natalia" dataCellStyle="Normal"/>
    <tableColumn id="7" xr3:uid="{00000000-0010-0000-0000-000007000000}" name="studyID" dataCellStyle="Normal"/>
    <tableColumn id="8" xr3:uid="{00000000-0010-0000-0000-000008000000}" name="Study ID_author" dataCellStyle="Normal"/>
    <tableColumn id="9" xr3:uid="{00000000-0010-0000-0000-000009000000}" name="year" dataCellStyle="Normal"/>
    <tableColumn id="40" xr3:uid="{F14BCEBC-D64F-C147-982B-83C36ED8B059}" name="citation" dataCellStyle="Normal">
      <calculatedColumnFormula>Table1[[#This Row],[Study ID_author]]&amp;" et al., "&amp;Table1[[#This Row],[year]]</calculatedColumnFormula>
    </tableColumn>
    <tableColumn id="10" xr3:uid="{00000000-0010-0000-0000-00000A000000}" name="sample_type" dataCellStyle="Normal"/>
    <tableColumn id="11" xr3:uid="{00000000-0010-0000-0000-00000B000000}" name="clinicalsample (GP 1, CS 2)" dataCellStyle="Normal"/>
    <tableColumn id="12" xr3:uid="{00000000-0010-0000-0000-00000C000000}" name="trauma_type (composite 1, abuse 2, neglect 3)" dataCellStyle="Normal"/>
    <tableColumn id="13" xr3:uid="{00000000-0010-0000-0000-00000D000000}" name="trauma_measure" dataCellStyle="Normal"/>
    <tableColumn id="14" xr3:uid="{00000000-0010-0000-0000-00000E000000}" name="negative_schemas_instrument" dataCellStyle="Normal"/>
    <tableColumn id="15" xr3:uid="{00000000-0010-0000-0000-00000F000000}" name="negative_schemas domain " dataCellStyle="Normal"/>
    <tableColumn id="16" xr3:uid="{00000000-0010-0000-0000-000010000000}" name="psychosis_construct ( 1 composite, 2 halucinations, 3 delusions)" dataCellStyle="Normal"/>
    <tableColumn id="17" xr3:uid="{00000000-0010-0000-0000-000011000000}" name="psychosis_scale" dataCellStyle="Normal"/>
    <tableColumn id="18" xr3:uid="{00000000-0010-0000-0000-000012000000}" name="N" dataCellStyle="Normal"/>
    <tableColumn id="19" xr3:uid="{00000000-0010-0000-0000-000013000000}" name="mean age" dataCellStyle="Normal"/>
    <tableColumn id="20" xr3:uid="{00000000-0010-0000-0000-000014000000}" name="%_female" dataCellStyle="Normal"/>
    <tableColumn id="21" xr3:uid="{00000000-0010-0000-0000-000015000000}" name="r_XM (pathway a)" dataCellStyle="Normal"/>
    <tableColumn id="22" xr3:uid="{00000000-0010-0000-0000-000016000000}" name="r_MY_out (Pathway b)" dataCellStyle="Normal"/>
    <tableColumn id="23" xr3:uid="{00000000-0010-0000-0000-000017000000}" name="r_XY_out (pathway c)" dataCellStyle="Normal"/>
    <tableColumn id="24" xr3:uid="{00000000-0010-0000-0000-000018000000}" name="NOS" dataCellStyle="Normal"/>
    <tableColumn id="25" xr3:uid="{00000000-0010-0000-0000-000019000000}" name="not correlations (when data has been converted into correlations)" dataCellStyle="Normal"/>
    <tableColumn id="26" xr3:uid="{00000000-0010-0000-0000-00001A000000}" name="note" dataCellStyle="Norma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93/schizbullopen/sgad030" TargetMode="External"/><Relationship Id="rId2" Type="http://schemas.openxmlformats.org/officeDocument/2006/relationships/hyperlink" Target="https://doi.org/10.1016/j.jpsychires.2017.01.003" TargetMode="External"/><Relationship Id="rId1" Type="http://schemas.openxmlformats.org/officeDocument/2006/relationships/hyperlink" Target="https://doi.org/10.1016/j.schres.2025.09.030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doi.org/10.1002/cpp.70187" TargetMode="External"/><Relationship Id="rId4" Type="http://schemas.openxmlformats.org/officeDocument/2006/relationships/hyperlink" Target="https://doi.org/10.1016/j.psychres.2015.04.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topLeftCell="E1" workbookViewId="0">
      <pane ySplit="1" topLeftCell="A2" activePane="bottomLeft" state="frozen"/>
      <selection pane="bottomLeft" activeCell="P1" sqref="P1"/>
    </sheetView>
  </sheetViews>
  <sheetFormatPr baseColWidth="10" defaultColWidth="12.6640625" defaultRowHeight="13" x14ac:dyDescent="0.15"/>
  <cols>
    <col min="1" max="1" width="18.5" customWidth="1"/>
    <col min="2" max="2" width="14.1640625" customWidth="1"/>
    <col min="9" max="9" width="22.33203125" bestFit="1" customWidth="1"/>
    <col min="11" max="11" width="18" customWidth="1"/>
    <col min="12" max="12" width="22.6640625" customWidth="1"/>
    <col min="14" max="14" width="19.83203125" customWidth="1"/>
    <col min="15" max="16" width="21.6640625" customWidth="1"/>
    <col min="18" max="18" width="17.83203125" customWidth="1"/>
    <col min="20" max="20" width="12.6640625" customWidth="1"/>
    <col min="22" max="22" width="13.1640625" customWidth="1"/>
    <col min="26" max="26" width="198.33203125" bestFit="1" customWidth="1"/>
  </cols>
  <sheetData>
    <row r="1" spans="1:26" ht="22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15">
      <c r="B2" t="s">
        <v>27</v>
      </c>
      <c r="C2" t="s">
        <v>27</v>
      </c>
      <c r="F2">
        <v>19</v>
      </c>
      <c r="G2" t="s">
        <v>127</v>
      </c>
      <c r="H2">
        <v>2021</v>
      </c>
      <c r="I2" t="str">
        <f>Table1[[#This Row],[Study ID_author]]&amp;" et al., "&amp;Table1[[#This Row],[year]]</f>
        <v>LoPilato et al., 2021</v>
      </c>
      <c r="J2" t="s">
        <v>128</v>
      </c>
      <c r="K2">
        <v>2</v>
      </c>
      <c r="L2">
        <v>2</v>
      </c>
      <c r="M2" t="s">
        <v>129</v>
      </c>
      <c r="N2" t="s">
        <v>45</v>
      </c>
      <c r="O2" t="s">
        <v>130</v>
      </c>
      <c r="P2">
        <v>3</v>
      </c>
      <c r="Q2" t="s">
        <v>131</v>
      </c>
      <c r="R2">
        <v>531</v>
      </c>
      <c r="S2">
        <v>18.8</v>
      </c>
      <c r="T2">
        <v>0.39500000000000002</v>
      </c>
      <c r="U2">
        <v>0.12</v>
      </c>
      <c r="V2">
        <v>0.23</v>
      </c>
      <c r="W2">
        <v>0.11</v>
      </c>
    </row>
    <row r="3" spans="1:26" x14ac:dyDescent="0.15">
      <c r="A3" t="s">
        <v>117</v>
      </c>
      <c r="B3" t="s">
        <v>27</v>
      </c>
      <c r="C3" t="s">
        <v>27</v>
      </c>
      <c r="F3">
        <v>17</v>
      </c>
      <c r="G3" t="s">
        <v>118</v>
      </c>
      <c r="H3">
        <v>2016</v>
      </c>
      <c r="I3" t="str">
        <f>Table1[[#This Row],[Study ID_author]]&amp;" et al., "&amp;Table1[[#This Row],[year]]</f>
        <v>Hardy  et al., 2016</v>
      </c>
      <c r="J3" t="s">
        <v>51</v>
      </c>
      <c r="K3">
        <v>2</v>
      </c>
      <c r="L3">
        <v>2</v>
      </c>
      <c r="M3" t="s">
        <v>119</v>
      </c>
      <c r="N3" t="s">
        <v>45</v>
      </c>
      <c r="O3" t="s">
        <v>120</v>
      </c>
      <c r="P3">
        <v>3</v>
      </c>
      <c r="Q3" t="s">
        <v>121</v>
      </c>
      <c r="R3">
        <v>228</v>
      </c>
      <c r="S3">
        <v>38.200000000000003</v>
      </c>
      <c r="T3">
        <v>27.6</v>
      </c>
      <c r="U3">
        <v>0.19</v>
      </c>
      <c r="V3">
        <v>0.2</v>
      </c>
      <c r="W3">
        <v>0.2</v>
      </c>
      <c r="Y3">
        <v>1</v>
      </c>
      <c r="Z3" t="s">
        <v>122</v>
      </c>
    </row>
    <row r="4" spans="1:26" x14ac:dyDescent="0.15">
      <c r="A4" t="s">
        <v>140</v>
      </c>
      <c r="B4" t="s">
        <v>26</v>
      </c>
      <c r="C4" t="s">
        <v>27</v>
      </c>
      <c r="F4">
        <v>3</v>
      </c>
      <c r="G4" t="s">
        <v>42</v>
      </c>
      <c r="H4">
        <v>2017</v>
      </c>
      <c r="I4" t="str">
        <f>Table1[[#This Row],[Study ID_author]]&amp;" et al., "&amp;Table1[[#This Row],[year]]</f>
        <v>Appiah et al., 2017</v>
      </c>
      <c r="J4" t="s">
        <v>43</v>
      </c>
      <c r="K4">
        <v>2</v>
      </c>
      <c r="L4">
        <v>3</v>
      </c>
      <c r="M4" t="s">
        <v>44</v>
      </c>
      <c r="N4" t="s">
        <v>45</v>
      </c>
      <c r="O4" t="s">
        <v>46</v>
      </c>
      <c r="P4">
        <v>3</v>
      </c>
      <c r="Q4" t="s">
        <v>47</v>
      </c>
      <c r="R4">
        <v>68</v>
      </c>
      <c r="S4">
        <v>23.9</v>
      </c>
      <c r="T4">
        <v>46.7</v>
      </c>
      <c r="U4">
        <v>0.3</v>
      </c>
      <c r="V4">
        <v>0.05</v>
      </c>
      <c r="W4">
        <v>0.08</v>
      </c>
      <c r="Y4">
        <v>1</v>
      </c>
      <c r="Z4" t="s">
        <v>48</v>
      </c>
    </row>
    <row r="5" spans="1:26" x14ac:dyDescent="0.15">
      <c r="A5" t="s">
        <v>53</v>
      </c>
      <c r="C5" t="s">
        <v>27</v>
      </c>
      <c r="F5">
        <v>5</v>
      </c>
      <c r="G5" t="s">
        <v>54</v>
      </c>
      <c r="H5">
        <v>2012</v>
      </c>
      <c r="I5" t="str">
        <f>Table1[[#This Row],[Study ID_author]]&amp;" et al., "&amp;Table1[[#This Row],[year]]</f>
        <v>Ashford et al., 2012</v>
      </c>
      <c r="J5" t="s">
        <v>55</v>
      </c>
      <c r="K5">
        <v>1</v>
      </c>
      <c r="L5">
        <v>1</v>
      </c>
      <c r="M5" t="s">
        <v>56</v>
      </c>
      <c r="N5" t="s">
        <v>45</v>
      </c>
      <c r="O5" t="s">
        <v>46</v>
      </c>
      <c r="P5">
        <v>3</v>
      </c>
      <c r="Q5" t="s">
        <v>57</v>
      </c>
      <c r="R5">
        <v>135</v>
      </c>
      <c r="S5">
        <v>19.8</v>
      </c>
      <c r="T5">
        <v>91.1</v>
      </c>
      <c r="U5">
        <v>0.37</v>
      </c>
      <c r="V5">
        <v>0.51</v>
      </c>
      <c r="W5">
        <v>0.44</v>
      </c>
    </row>
    <row r="6" spans="1:26" hidden="1" x14ac:dyDescent="0.15">
      <c r="A6" t="s">
        <v>58</v>
      </c>
      <c r="C6" t="s">
        <v>27</v>
      </c>
      <c r="F6">
        <v>6</v>
      </c>
      <c r="G6" t="s">
        <v>59</v>
      </c>
      <c r="H6">
        <v>2017</v>
      </c>
      <c r="I6" t="str">
        <f>Table1[[#This Row],[Study ID_author]]&amp;" et al., "&amp;Table1[[#This Row],[year]]</f>
        <v>Bortolon et al., 2017</v>
      </c>
      <c r="J6" t="s">
        <v>55</v>
      </c>
      <c r="K6">
        <v>1</v>
      </c>
      <c r="L6">
        <v>2</v>
      </c>
      <c r="M6" t="s">
        <v>44</v>
      </c>
      <c r="N6" t="s">
        <v>60</v>
      </c>
      <c r="O6" t="s">
        <v>46</v>
      </c>
      <c r="P6">
        <v>2</v>
      </c>
      <c r="Q6" t="s">
        <v>61</v>
      </c>
      <c r="R6">
        <v>425</v>
      </c>
      <c r="S6">
        <v>36.229999999999997</v>
      </c>
      <c r="T6">
        <v>79.099999999999994</v>
      </c>
      <c r="U6">
        <v>0.58499999999999996</v>
      </c>
      <c r="V6">
        <v>0.41399999999999998</v>
      </c>
      <c r="W6">
        <v>0.33100000000000002</v>
      </c>
      <c r="Y6">
        <v>1</v>
      </c>
      <c r="Z6" t="s">
        <v>62</v>
      </c>
    </row>
    <row r="7" spans="1:26" hidden="1" x14ac:dyDescent="0.15">
      <c r="A7" t="s">
        <v>63</v>
      </c>
      <c r="C7" t="s">
        <v>27</v>
      </c>
      <c r="F7">
        <v>7</v>
      </c>
      <c r="G7" t="s">
        <v>64</v>
      </c>
      <c r="H7">
        <v>2018</v>
      </c>
      <c r="I7" t="str">
        <f>Table1[[#This Row],[Study ID_author]]&amp;" et al., "&amp;Table1[[#This Row],[year]]</f>
        <v>Boyda et al., 2018</v>
      </c>
      <c r="J7" t="s">
        <v>55</v>
      </c>
      <c r="K7">
        <v>1</v>
      </c>
      <c r="L7">
        <v>2</v>
      </c>
      <c r="M7" t="s">
        <v>65</v>
      </c>
      <c r="N7" t="s">
        <v>66</v>
      </c>
      <c r="O7" t="s">
        <v>46</v>
      </c>
      <c r="P7">
        <v>1</v>
      </c>
      <c r="Q7" t="s">
        <v>33</v>
      </c>
      <c r="R7">
        <v>302</v>
      </c>
      <c r="S7">
        <v>36</v>
      </c>
      <c r="T7">
        <v>69.900000000000006</v>
      </c>
      <c r="U7">
        <v>0.23499999999999999</v>
      </c>
      <c r="V7">
        <v>0.33200000000000002</v>
      </c>
      <c r="W7">
        <v>7.0999999999999994E-2</v>
      </c>
      <c r="Y7">
        <v>1</v>
      </c>
      <c r="Z7" t="s">
        <v>67</v>
      </c>
    </row>
    <row r="8" spans="1:26" hidden="1" x14ac:dyDescent="0.15">
      <c r="A8" t="s">
        <v>75</v>
      </c>
      <c r="C8" t="s">
        <v>27</v>
      </c>
      <c r="F8">
        <v>9</v>
      </c>
      <c r="G8" t="s">
        <v>76</v>
      </c>
      <c r="H8">
        <v>2022</v>
      </c>
      <c r="I8" t="str">
        <f>Table1[[#This Row],[Study ID_author]]&amp;" et al., "&amp;Table1[[#This Row],[year]]</f>
        <v>Dhondt et al., 2022</v>
      </c>
      <c r="J8" t="s">
        <v>55</v>
      </c>
      <c r="K8">
        <v>1</v>
      </c>
      <c r="L8">
        <v>1</v>
      </c>
      <c r="M8" t="s">
        <v>77</v>
      </c>
      <c r="N8" t="s">
        <v>78</v>
      </c>
      <c r="O8" t="s">
        <v>46</v>
      </c>
      <c r="P8">
        <v>1</v>
      </c>
      <c r="Q8" t="s">
        <v>79</v>
      </c>
      <c r="R8">
        <v>6039</v>
      </c>
      <c r="S8" t="s">
        <v>80</v>
      </c>
      <c r="T8">
        <v>49.13</v>
      </c>
      <c r="U8" t="s">
        <v>81</v>
      </c>
      <c r="V8">
        <v>0.08</v>
      </c>
      <c r="W8">
        <v>0.2</v>
      </c>
      <c r="Y8">
        <v>1</v>
      </c>
      <c r="Z8" t="s">
        <v>82</v>
      </c>
    </row>
    <row r="9" spans="1:26" hidden="1" x14ac:dyDescent="0.15">
      <c r="A9" t="s">
        <v>49</v>
      </c>
      <c r="B9" t="s">
        <v>26</v>
      </c>
      <c r="C9" t="s">
        <v>27</v>
      </c>
      <c r="F9">
        <v>4</v>
      </c>
      <c r="G9" t="s">
        <v>50</v>
      </c>
      <c r="H9">
        <v>2023</v>
      </c>
      <c r="I9" t="str">
        <f>Table1[[#This Row],[Study ID_author]]&amp;" et al., "&amp;Table1[[#This Row],[year]]</f>
        <v>Dudley et al., 2023</v>
      </c>
      <c r="J9" t="s">
        <v>51</v>
      </c>
      <c r="K9">
        <v>2</v>
      </c>
      <c r="L9">
        <v>1</v>
      </c>
      <c r="M9" t="s">
        <v>44</v>
      </c>
      <c r="N9" t="s">
        <v>45</v>
      </c>
      <c r="O9" t="s">
        <v>46</v>
      </c>
      <c r="P9">
        <v>1</v>
      </c>
      <c r="Q9" t="s">
        <v>52</v>
      </c>
      <c r="R9">
        <v>292</v>
      </c>
      <c r="S9">
        <v>42.31</v>
      </c>
      <c r="T9">
        <v>28</v>
      </c>
      <c r="U9">
        <v>0.27</v>
      </c>
      <c r="V9">
        <v>0.14000000000000001</v>
      </c>
      <c r="W9">
        <v>0.21</v>
      </c>
    </row>
    <row r="10" spans="1:26" x14ac:dyDescent="0.15">
      <c r="A10" t="s">
        <v>83</v>
      </c>
      <c r="C10" t="s">
        <v>27</v>
      </c>
      <c r="F10">
        <v>10</v>
      </c>
      <c r="G10" t="s">
        <v>84</v>
      </c>
      <c r="H10">
        <v>2012</v>
      </c>
      <c r="I10" t="str">
        <f>Table1[[#This Row],[Study ID_author]]&amp;" et al., "&amp;Table1[[#This Row],[year]]</f>
        <v>Fisher et al., 2012</v>
      </c>
      <c r="J10" t="s">
        <v>55</v>
      </c>
      <c r="K10">
        <v>1</v>
      </c>
      <c r="L10">
        <v>2</v>
      </c>
      <c r="M10" t="s">
        <v>44</v>
      </c>
      <c r="N10" t="s">
        <v>45</v>
      </c>
      <c r="O10" t="s">
        <v>46</v>
      </c>
      <c r="P10">
        <v>3</v>
      </c>
      <c r="Q10" t="s">
        <v>85</v>
      </c>
      <c r="R10">
        <v>212</v>
      </c>
      <c r="S10">
        <v>27</v>
      </c>
      <c r="T10">
        <v>65.400000000000006</v>
      </c>
      <c r="U10" t="s">
        <v>41</v>
      </c>
      <c r="V10">
        <v>0.3</v>
      </c>
      <c r="W10">
        <v>0.31</v>
      </c>
      <c r="Y10">
        <v>1</v>
      </c>
      <c r="Z10" t="s">
        <v>86</v>
      </c>
    </row>
    <row r="11" spans="1:26" hidden="1" x14ac:dyDescent="0.15">
      <c r="A11" t="s">
        <v>87</v>
      </c>
      <c r="C11" t="s">
        <v>27</v>
      </c>
      <c r="F11">
        <v>11</v>
      </c>
      <c r="G11" t="s">
        <v>88</v>
      </c>
      <c r="H11">
        <v>2019</v>
      </c>
      <c r="I11" t="str">
        <f>Table1[[#This Row],[Study ID_author]]&amp;" et al., "&amp;Table1[[#This Row],[year]]</f>
        <v>Gibson  et al., 2019</v>
      </c>
      <c r="J11" t="s">
        <v>55</v>
      </c>
      <c r="K11">
        <v>1</v>
      </c>
      <c r="L11">
        <v>1</v>
      </c>
      <c r="M11" t="s">
        <v>36</v>
      </c>
      <c r="N11" t="s">
        <v>45</v>
      </c>
      <c r="O11" t="s">
        <v>46</v>
      </c>
      <c r="P11">
        <v>1</v>
      </c>
      <c r="Q11" t="s">
        <v>89</v>
      </c>
      <c r="R11">
        <v>945</v>
      </c>
      <c r="S11">
        <v>20.13</v>
      </c>
      <c r="T11" t="s">
        <v>90</v>
      </c>
      <c r="U11">
        <v>0.28000000000000003</v>
      </c>
      <c r="V11">
        <v>0.36</v>
      </c>
      <c r="W11">
        <v>0.21</v>
      </c>
      <c r="Y11">
        <v>1</v>
      </c>
      <c r="Z11" t="s">
        <v>91</v>
      </c>
    </row>
    <row r="12" spans="1:26" hidden="1" x14ac:dyDescent="0.15">
      <c r="A12" t="s">
        <v>99</v>
      </c>
      <c r="C12" t="s">
        <v>27</v>
      </c>
      <c r="F12">
        <v>13</v>
      </c>
      <c r="G12" t="s">
        <v>100</v>
      </c>
      <c r="H12">
        <v>2017</v>
      </c>
      <c r="I12" t="str">
        <f>Table1[[#This Row],[Study ID_author]]&amp;" et al., "&amp;Table1[[#This Row],[year]]</f>
        <v>Jaya et al., 2017</v>
      </c>
      <c r="J12" t="s">
        <v>55</v>
      </c>
      <c r="K12">
        <v>1</v>
      </c>
      <c r="L12">
        <v>1</v>
      </c>
      <c r="M12" t="s">
        <v>101</v>
      </c>
      <c r="N12" t="s">
        <v>45</v>
      </c>
      <c r="O12" t="s">
        <v>46</v>
      </c>
      <c r="P12">
        <v>1</v>
      </c>
      <c r="Q12" t="s">
        <v>33</v>
      </c>
      <c r="R12">
        <v>2350</v>
      </c>
      <c r="S12">
        <v>32.53</v>
      </c>
      <c r="T12">
        <v>37.799999999999997</v>
      </c>
      <c r="U12">
        <v>0.7</v>
      </c>
      <c r="V12">
        <v>0.21</v>
      </c>
      <c r="W12">
        <v>0.45</v>
      </c>
      <c r="Y12">
        <v>1</v>
      </c>
      <c r="Z12" t="s">
        <v>102</v>
      </c>
    </row>
    <row r="13" spans="1:26" hidden="1" x14ac:dyDescent="0.15">
      <c r="A13" t="s">
        <v>103</v>
      </c>
      <c r="C13" t="s">
        <v>27</v>
      </c>
      <c r="F13">
        <v>14</v>
      </c>
      <c r="G13" t="s">
        <v>104</v>
      </c>
      <c r="H13">
        <v>2015</v>
      </c>
      <c r="I13" t="str">
        <f>Table1[[#This Row],[Study ID_author]]&amp;" et al., "&amp;Table1[[#This Row],[year]]</f>
        <v>Murphy et al., 2015</v>
      </c>
      <c r="J13" t="s">
        <v>55</v>
      </c>
      <c r="K13">
        <v>1</v>
      </c>
      <c r="L13">
        <v>1</v>
      </c>
      <c r="M13" t="s">
        <v>105</v>
      </c>
      <c r="N13" t="s">
        <v>106</v>
      </c>
      <c r="O13" t="s">
        <v>46</v>
      </c>
      <c r="P13">
        <v>1</v>
      </c>
      <c r="Q13" t="s">
        <v>79</v>
      </c>
      <c r="R13">
        <v>785</v>
      </c>
      <c r="S13">
        <v>16.2</v>
      </c>
      <c r="T13">
        <v>56.1</v>
      </c>
      <c r="U13">
        <v>0.57099999999999995</v>
      </c>
      <c r="V13">
        <v>0.40300000000000002</v>
      </c>
      <c r="W13">
        <v>0.34799999999999998</v>
      </c>
    </row>
    <row r="14" spans="1:26" x14ac:dyDescent="0.15">
      <c r="A14" t="s">
        <v>107</v>
      </c>
      <c r="C14" t="s">
        <v>27</v>
      </c>
      <c r="F14">
        <v>15</v>
      </c>
      <c r="G14" t="s">
        <v>108</v>
      </c>
      <c r="H14">
        <v>2014</v>
      </c>
      <c r="I14" t="str">
        <f>Table1[[#This Row],[Study ID_author]]&amp;" et al., "&amp;Table1[[#This Row],[year]]</f>
        <v>Pinto-Gouveia et al., 2014</v>
      </c>
      <c r="J14" t="s">
        <v>55</v>
      </c>
      <c r="K14">
        <v>1</v>
      </c>
      <c r="L14">
        <v>1</v>
      </c>
      <c r="M14" t="s">
        <v>109</v>
      </c>
      <c r="N14" t="s">
        <v>110</v>
      </c>
      <c r="O14" t="s">
        <v>46</v>
      </c>
      <c r="P14">
        <v>3</v>
      </c>
      <c r="Q14" t="s">
        <v>111</v>
      </c>
      <c r="R14">
        <v>255</v>
      </c>
      <c r="S14">
        <v>36.96</v>
      </c>
      <c r="T14">
        <v>68.2</v>
      </c>
      <c r="U14">
        <v>0.44</v>
      </c>
      <c r="V14">
        <v>0.52</v>
      </c>
      <c r="W14">
        <v>0.45</v>
      </c>
    </row>
    <row r="15" spans="1:26" hidden="1" x14ac:dyDescent="0.15">
      <c r="A15" t="s">
        <v>141</v>
      </c>
      <c r="B15" t="s">
        <v>27</v>
      </c>
      <c r="C15" t="s">
        <v>27</v>
      </c>
      <c r="F15">
        <v>16</v>
      </c>
      <c r="G15" t="s">
        <v>112</v>
      </c>
      <c r="H15">
        <v>2015</v>
      </c>
      <c r="I15" t="str">
        <f>Table1[[#This Row],[Study ID_author]]&amp;" et al., "&amp;Table1[[#This Row],[year]]</f>
        <v>Evans et al., 2015</v>
      </c>
      <c r="J15" t="s">
        <v>51</v>
      </c>
      <c r="K15">
        <v>2</v>
      </c>
      <c r="L15">
        <v>1</v>
      </c>
      <c r="M15" t="s">
        <v>44</v>
      </c>
      <c r="N15" t="s">
        <v>113</v>
      </c>
      <c r="O15" t="s">
        <v>114</v>
      </c>
      <c r="P15">
        <v>1</v>
      </c>
      <c r="Q15" t="s">
        <v>52</v>
      </c>
      <c r="R15">
        <v>60</v>
      </c>
      <c r="S15" t="s">
        <v>115</v>
      </c>
      <c r="T15">
        <v>34.5</v>
      </c>
      <c r="U15" t="s">
        <v>41</v>
      </c>
      <c r="Z15" t="s">
        <v>116</v>
      </c>
    </row>
    <row r="16" spans="1:26" hidden="1" x14ac:dyDescent="0.15">
      <c r="A16" t="s">
        <v>25</v>
      </c>
      <c r="B16" t="s">
        <v>26</v>
      </c>
      <c r="C16" t="s">
        <v>27</v>
      </c>
      <c r="F16">
        <v>1</v>
      </c>
      <c r="G16" t="s">
        <v>28</v>
      </c>
      <c r="H16">
        <v>2020</v>
      </c>
      <c r="I16" t="str">
        <f>Table1[[#This Row],[Study ID_author]]&amp;" et al., "&amp;Table1[[#This Row],[year]]</f>
        <v>Simpson et al., 2020</v>
      </c>
      <c r="J16" t="s">
        <v>29</v>
      </c>
      <c r="K16">
        <v>2</v>
      </c>
      <c r="L16">
        <v>1</v>
      </c>
      <c r="M16" t="s">
        <v>30</v>
      </c>
      <c r="N16" t="s">
        <v>31</v>
      </c>
      <c r="O16" t="s">
        <v>32</v>
      </c>
      <c r="P16">
        <v>1</v>
      </c>
      <c r="Q16" t="s">
        <v>33</v>
      </c>
      <c r="R16">
        <v>78</v>
      </c>
      <c r="S16">
        <v>37.64</v>
      </c>
      <c r="T16">
        <v>77</v>
      </c>
      <c r="U16">
        <v>0.47</v>
      </c>
      <c r="V16">
        <v>0.41</v>
      </c>
      <c r="W16">
        <v>0.35</v>
      </c>
      <c r="Z16" t="s">
        <v>34</v>
      </c>
    </row>
    <row r="17" spans="1:26" hidden="1" x14ac:dyDescent="0.15">
      <c r="A17" t="s">
        <v>92</v>
      </c>
      <c r="C17" t="s">
        <v>27</v>
      </c>
      <c r="F17">
        <v>12</v>
      </c>
      <c r="G17" t="s">
        <v>93</v>
      </c>
      <c r="H17">
        <v>2013</v>
      </c>
      <c r="I17" t="str">
        <f>Table1[[#This Row],[Study ID_author]]&amp;" et al., "&amp;Table1[[#This Row],[year]]</f>
        <v>Fisher  et al., 2013</v>
      </c>
      <c r="J17" t="s">
        <v>55</v>
      </c>
      <c r="K17">
        <v>1</v>
      </c>
      <c r="L17" t="s">
        <v>94</v>
      </c>
      <c r="M17" t="s">
        <v>95</v>
      </c>
      <c r="N17" t="s">
        <v>96</v>
      </c>
      <c r="O17" t="s">
        <v>38</v>
      </c>
      <c r="P17">
        <v>1</v>
      </c>
      <c r="Q17" t="s">
        <v>97</v>
      </c>
      <c r="R17">
        <v>6692</v>
      </c>
      <c r="S17">
        <v>12.9</v>
      </c>
      <c r="T17">
        <v>50.9</v>
      </c>
      <c r="U17" t="s">
        <v>41</v>
      </c>
      <c r="V17" t="s">
        <v>41</v>
      </c>
      <c r="W17">
        <v>0.11</v>
      </c>
      <c r="Y17">
        <v>1</v>
      </c>
      <c r="Z17" t="s">
        <v>98</v>
      </c>
    </row>
    <row r="18" spans="1:26" hidden="1" x14ac:dyDescent="0.15">
      <c r="A18" t="s">
        <v>132</v>
      </c>
      <c r="B18" t="s">
        <v>27</v>
      </c>
      <c r="C18" t="s">
        <v>27</v>
      </c>
      <c r="F18">
        <v>20</v>
      </c>
      <c r="G18" t="s">
        <v>133</v>
      </c>
      <c r="H18">
        <v>2014</v>
      </c>
      <c r="I18" t="str">
        <f>Table1[[#This Row],[Study ID_author]]&amp;" et al., "&amp;Table1[[#This Row],[year]]</f>
        <v>Morgan et al., 2014</v>
      </c>
      <c r="J18" t="s">
        <v>134</v>
      </c>
      <c r="K18">
        <v>2</v>
      </c>
      <c r="L18">
        <v>1</v>
      </c>
      <c r="M18" t="s">
        <v>135</v>
      </c>
      <c r="N18" t="s">
        <v>136</v>
      </c>
      <c r="O18" t="s">
        <v>38</v>
      </c>
      <c r="P18">
        <v>1</v>
      </c>
      <c r="Q18" t="s">
        <v>137</v>
      </c>
      <c r="R18">
        <v>781</v>
      </c>
      <c r="S18">
        <v>33.9</v>
      </c>
      <c r="T18">
        <v>51.5</v>
      </c>
      <c r="U18" t="s">
        <v>41</v>
      </c>
      <c r="V18">
        <v>0.19</v>
      </c>
      <c r="W18">
        <v>0.25</v>
      </c>
      <c r="X18">
        <v>6</v>
      </c>
    </row>
    <row r="19" spans="1:26" hidden="1" x14ac:dyDescent="0.15">
      <c r="A19" t="s">
        <v>139</v>
      </c>
      <c r="B19" t="s">
        <v>26</v>
      </c>
      <c r="C19" t="s">
        <v>27</v>
      </c>
      <c r="F19">
        <v>2</v>
      </c>
      <c r="G19" t="s">
        <v>35</v>
      </c>
      <c r="H19">
        <v>2025</v>
      </c>
      <c r="I19" t="str">
        <f>Table1[[#This Row],[Study ID_author]]&amp;" et al., "&amp;Table1[[#This Row],[year]]</f>
        <v>Adewuya et al., 2025</v>
      </c>
      <c r="J19" t="s">
        <v>29</v>
      </c>
      <c r="K19">
        <v>2</v>
      </c>
      <c r="L19">
        <v>1</v>
      </c>
      <c r="M19" t="s">
        <v>36</v>
      </c>
      <c r="N19" t="s">
        <v>37</v>
      </c>
      <c r="O19" t="s">
        <v>38</v>
      </c>
      <c r="P19">
        <v>1</v>
      </c>
      <c r="Q19" t="s">
        <v>39</v>
      </c>
      <c r="R19" t="s">
        <v>40</v>
      </c>
      <c r="S19">
        <v>34.700000000000003</v>
      </c>
      <c r="T19" t="s">
        <v>41</v>
      </c>
      <c r="U19" t="s">
        <v>41</v>
      </c>
      <c r="V19" t="s">
        <v>41</v>
      </c>
      <c r="W19">
        <v>0.22500000000000001</v>
      </c>
    </row>
    <row r="20" spans="1:26" hidden="1" x14ac:dyDescent="0.15">
      <c r="A20" t="s">
        <v>68</v>
      </c>
      <c r="C20" t="s">
        <v>27</v>
      </c>
      <c r="F20">
        <v>8</v>
      </c>
      <c r="G20" t="s">
        <v>69</v>
      </c>
      <c r="H20">
        <v>2022</v>
      </c>
      <c r="I20" t="str">
        <f>Table1[[#This Row],[Study ID_author]]&amp;" et al., "&amp;Table1[[#This Row],[year]]</f>
        <v>Chen et al., 2022</v>
      </c>
      <c r="J20" t="s">
        <v>55</v>
      </c>
      <c r="K20">
        <v>1</v>
      </c>
      <c r="L20">
        <v>1</v>
      </c>
      <c r="M20" t="s">
        <v>70</v>
      </c>
      <c r="N20" t="s">
        <v>71</v>
      </c>
      <c r="O20" t="s">
        <v>38</v>
      </c>
      <c r="P20">
        <v>1</v>
      </c>
      <c r="Q20" t="s">
        <v>33</v>
      </c>
      <c r="R20">
        <v>262</v>
      </c>
      <c r="S20">
        <v>19.73</v>
      </c>
      <c r="T20">
        <v>63.7</v>
      </c>
      <c r="U20" t="s">
        <v>72</v>
      </c>
      <c r="V20" t="s">
        <v>73</v>
      </c>
      <c r="W20">
        <v>0.1</v>
      </c>
      <c r="Y20">
        <v>1</v>
      </c>
      <c r="Z20" t="s">
        <v>74</v>
      </c>
    </row>
    <row r="21" spans="1:26" hidden="1" x14ac:dyDescent="0.15">
      <c r="A21" t="s">
        <v>123</v>
      </c>
      <c r="B21" t="s">
        <v>27</v>
      </c>
      <c r="C21" t="s">
        <v>27</v>
      </c>
      <c r="E21" t="s">
        <v>124</v>
      </c>
      <c r="F21">
        <v>18</v>
      </c>
      <c r="G21" t="s">
        <v>125</v>
      </c>
      <c r="H21">
        <v>2025</v>
      </c>
      <c r="I21" t="str">
        <f>Table1[[#This Row],[Study ID_author]]&amp;" et al., "&amp;Table1[[#This Row],[year]]</f>
        <v>Levi et al., 2025</v>
      </c>
      <c r="Z21" t="s">
        <v>126</v>
      </c>
    </row>
  </sheetData>
  <hyperlinks>
    <hyperlink ref="A19" r:id="rId1" xr:uid="{00000000-0004-0000-0000-000000000000}"/>
    <hyperlink ref="A4" r:id="rId2" xr:uid="{00000000-0004-0000-0000-000001000000}"/>
    <hyperlink ref="A9" r:id="rId3" xr:uid="{00000000-0004-0000-0000-000002000000}"/>
    <hyperlink ref="A15" r:id="rId4" xr:uid="{00000000-0004-0000-0000-000003000000}"/>
    <hyperlink ref="A21" r:id="rId5" xr:uid="{00000000-0004-0000-00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rossi</cp:lastModifiedBy>
  <dcterms:modified xsi:type="dcterms:W3CDTF">2026-06-10T17:29:17Z</dcterms:modified>
</cp:coreProperties>
</file>